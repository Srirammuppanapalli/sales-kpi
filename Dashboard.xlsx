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rammuppanapalli/Documents/"/>
    </mc:Choice>
  </mc:AlternateContent>
  <xr:revisionPtr revIDLastSave="0" documentId="13_ncr:1_{62900669-86D2-604A-A10D-0B1194798DD8}" xr6:coauthVersionLast="47" xr6:coauthVersionMax="47" xr10:uidLastSave="{00000000-0000-0000-0000-000000000000}"/>
  <bookViews>
    <workbookView xWindow="0" yWindow="0" windowWidth="28800" windowHeight="18000" xr2:uid="{E7B4E800-36E6-F648-9AE0-70798E913A4A}"/>
  </bookViews>
  <sheets>
    <sheet name="Raw Data" sheetId="1" r:id="rId1"/>
    <sheet name="Dashboard" sheetId="2" r:id="rId2"/>
  </sheets>
  <externalReferences>
    <externalReference r:id="rId3"/>
  </externalReferences>
  <definedNames>
    <definedName name="_xlchart.v1.0" hidden="1">Dashboard!$F$11</definedName>
    <definedName name="_xlchart.v1.1" hidden="1">Dashboard!$F$12</definedName>
    <definedName name="_xlchart.v1.10" hidden="1">Dashboard!$G$11:$L$11</definedName>
    <definedName name="_xlchart.v1.11" hidden="1">Dashboard!$G$12:$L$12</definedName>
    <definedName name="_xlchart.v1.12" hidden="1">Dashboard!$G$13:$L$13</definedName>
    <definedName name="_xlchart.v1.13" hidden="1">Dashboard!$G$9:$L$10</definedName>
    <definedName name="_xlchart.v1.2" hidden="1">Dashboard!$F$13</definedName>
    <definedName name="_xlchart.v1.3" hidden="1">Dashboard!$G$11:$L$11</definedName>
    <definedName name="_xlchart.v1.4" hidden="1">Dashboard!$G$12:$L$12</definedName>
    <definedName name="_xlchart.v1.5" hidden="1">Dashboard!$G$13:$L$13</definedName>
    <definedName name="_xlchart.v1.6" hidden="1">Dashboard!$G$9:$L$10</definedName>
    <definedName name="_xlchart.v1.7" hidden="1">Dashboard!$F$11</definedName>
    <definedName name="_xlchart.v1.8" hidden="1">Dashboard!$F$12</definedName>
    <definedName name="_xlchart.v1.9" hidden="1">Dashboard!$F$13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J22" i="2"/>
  <c r="J21" i="2"/>
  <c r="J20" i="2"/>
  <c r="J19" i="2"/>
  <c r="J18" i="2"/>
  <c r="L30" i="2"/>
  <c r="L29" i="2"/>
  <c r="L28" i="2"/>
  <c r="L27" i="2"/>
  <c r="G12" i="2"/>
  <c r="H12" i="2"/>
  <c r="I12" i="2"/>
  <c r="J12" i="2"/>
  <c r="K12" i="2"/>
  <c r="K13" i="2" s="1"/>
  <c r="K30" i="2"/>
  <c r="K29" i="2"/>
  <c r="K28" i="2"/>
  <c r="K27" i="2"/>
  <c r="J30" i="2"/>
  <c r="J29" i="2"/>
  <c r="J28" i="2"/>
  <c r="J27" i="2"/>
  <c r="H30" i="2"/>
  <c r="H29" i="2"/>
  <c r="H28" i="2"/>
  <c r="H27" i="2"/>
  <c r="G30" i="2"/>
  <c r="G29" i="2"/>
  <c r="G28" i="2"/>
  <c r="G27" i="2"/>
  <c r="I27" i="2" s="1"/>
  <c r="K23" i="2"/>
  <c r="I23" i="2"/>
  <c r="H23" i="2"/>
  <c r="K22" i="2"/>
  <c r="I22" i="2"/>
  <c r="H22" i="2"/>
  <c r="K21" i="2"/>
  <c r="I21" i="2"/>
  <c r="H21" i="2"/>
  <c r="K20" i="2"/>
  <c r="I20" i="2"/>
  <c r="H20" i="2"/>
  <c r="K19" i="2"/>
  <c r="I19" i="2"/>
  <c r="H19" i="2"/>
  <c r="K18" i="2"/>
  <c r="I18" i="2"/>
  <c r="H18" i="2"/>
  <c r="L12" i="2"/>
  <c r="L11" i="2"/>
  <c r="L13" i="2" s="1"/>
  <c r="K11" i="2"/>
  <c r="J11" i="2"/>
  <c r="I11" i="2"/>
  <c r="H11" i="2"/>
  <c r="G11" i="2"/>
  <c r="G13" i="2" s="1"/>
  <c r="N5" i="2"/>
  <c r="J5" i="2"/>
  <c r="F5" i="2"/>
  <c r="B5" i="2"/>
  <c r="I13" i="2" l="1"/>
  <c r="J13" i="2"/>
  <c r="H13" i="2"/>
  <c r="I30" i="2"/>
  <c r="I29" i="2"/>
  <c r="I28" i="2"/>
</calcChain>
</file>

<file path=xl/sharedStrings.xml><?xml version="1.0" encoding="utf-8"?>
<sst xmlns="http://schemas.openxmlformats.org/spreadsheetml/2006/main" count="97" uniqueCount="35">
  <si>
    <t>Month</t>
  </si>
  <si>
    <t>Region</t>
  </si>
  <si>
    <t>Actual sales</t>
  </si>
  <si>
    <t>Target sales</t>
  </si>
  <si>
    <t>Deals closed</t>
  </si>
  <si>
    <t>New Customers</t>
  </si>
  <si>
    <t>win Rate %</t>
  </si>
  <si>
    <t>Feb</t>
  </si>
  <si>
    <t>May</t>
  </si>
  <si>
    <t>Total Revenue</t>
  </si>
  <si>
    <t>Total Deals</t>
  </si>
  <si>
    <t>Jan</t>
  </si>
  <si>
    <t>Mar</t>
  </si>
  <si>
    <t>Apr</t>
  </si>
  <si>
    <t>Jun</t>
  </si>
  <si>
    <t>North</t>
  </si>
  <si>
    <t>South</t>
  </si>
  <si>
    <t>East</t>
  </si>
  <si>
    <t>West</t>
  </si>
  <si>
    <t xml:space="preserve">Avg Win Rate </t>
  </si>
  <si>
    <t xml:space="preserve">📊  SALES KPI DASHBOARD </t>
  </si>
  <si>
    <t>Generated: June 17, 2026   |   Period: January - June</t>
  </si>
  <si>
    <t>Monthly Revenue Trend — Actual vs Target</t>
  </si>
  <si>
    <t>Actual</t>
  </si>
  <si>
    <t>Target</t>
  </si>
  <si>
    <t>Achivement</t>
  </si>
  <si>
    <t>Monthly Deals &amp; Win Rate</t>
  </si>
  <si>
    <t>Regional Performance</t>
  </si>
  <si>
    <t>Win Rate</t>
  </si>
  <si>
    <t>Deals</t>
  </si>
  <si>
    <t>Achievement %</t>
  </si>
  <si>
    <t>Target Revenue</t>
  </si>
  <si>
    <t>Actual Revenue</t>
  </si>
  <si>
    <t>Chrun</t>
  </si>
  <si>
    <t>Chun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</si>
</sst>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\$#,##0"/>
  </numFmts>
  <fonts count="14" x14ac:knownFonts="1"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 (Body)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0"/>
      <color rgb="FF1F3864"/>
      <name val="Arial"/>
      <family val="2"/>
    </font>
    <font>
      <sz val="10"/>
      <color rgb="FF595959"/>
      <name val="Arial"/>
      <family val="2"/>
    </font>
    <font>
      <b/>
      <sz val="10"/>
      <color rgb="FF59595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DD7EE"/>
        <bgColor rgb="FFB5D4E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6" fillId="2" borderId="0" xfId="0" applyFont="1" applyFill="1"/>
    <xf numFmtId="0" fontId="6" fillId="4" borderId="0" xfId="0" applyFont="1" applyFill="1"/>
    <xf numFmtId="0" fontId="7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7" borderId="0" xfId="0" applyFill="1"/>
    <xf numFmtId="0" fontId="0" fillId="3" borderId="0" xfId="0" applyFill="1"/>
    <xf numFmtId="0" fontId="0" fillId="8" borderId="0" xfId="0" applyFill="1"/>
    <xf numFmtId="0" fontId="0" fillId="8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1" fillId="9" borderId="0" xfId="0" applyFont="1" applyFill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1" fontId="12" fillId="10" borderId="1" xfId="0" applyNumberFormat="1" applyFont="1" applyFill="1" applyBorder="1" applyAlignment="1">
      <alignment horizontal="center" vertical="center"/>
    </xf>
    <xf numFmtId="166" fontId="12" fillId="10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" fontId="12" fillId="11" borderId="1" xfId="0" applyNumberFormat="1" applyFont="1" applyFill="1" applyBorder="1" applyAlignment="1">
      <alignment horizontal="center" vertical="center"/>
    </xf>
    <xf numFmtId="166" fontId="12" fillId="11" borderId="1" xfId="0" applyNumberFormat="1" applyFont="1" applyFill="1" applyBorder="1" applyAlignment="1">
      <alignment horizontal="center" vertical="center"/>
    </xf>
    <xf numFmtId="167" fontId="12" fillId="11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67" fontId="12" fillId="10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Dashboard!$F$11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Dashboard!$G$9:$L$10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Dashboard!$G$11:$L$11</c:f>
              <c:numCache>
                <c:formatCode>General</c:formatCode>
                <c:ptCount val="6"/>
                <c:pt idx="0">
                  <c:v>136000</c:v>
                </c:pt>
                <c:pt idx="1">
                  <c:v>126000</c:v>
                </c:pt>
                <c:pt idx="2">
                  <c:v>163000</c:v>
                </c:pt>
                <c:pt idx="3">
                  <c:v>152000</c:v>
                </c:pt>
                <c:pt idx="4">
                  <c:v>176000</c:v>
                </c:pt>
                <c:pt idx="5">
                  <c:v>199000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7-2A4B-99DE-74B13E255517}"/>
            </c:ext>
          </c:extLst>
        </c:ser>
        <c:ser>
          <c:idx val="1"/>
          <c:order val="1"/>
          <c:tx>
            <c:strRef>
              <c:f>Dashboard!$F$12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Dashboard!$G$9:$L$10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Dashboard!$G$12:$L$12</c:f>
              <c:numCache>
                <c:formatCode>General</c:formatCode>
                <c:ptCount val="6"/>
                <c:pt idx="0">
                  <c:v>130000</c:v>
                </c:pt>
                <c:pt idx="1">
                  <c:v>130000</c:v>
                </c:pt>
                <c:pt idx="2">
                  <c:v>154000</c:v>
                </c:pt>
                <c:pt idx="3">
                  <c:v>154000</c:v>
                </c:pt>
                <c:pt idx="4">
                  <c:v>167000</c:v>
                </c:pt>
                <c:pt idx="5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7-2A4B-99DE-74B13E2555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4790383"/>
        <c:axId val="89686607"/>
      </c:barChart>
      <c:catAx>
        <c:axId val="15479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6607"/>
        <c:crosses val="autoZero"/>
        <c:auto val="1"/>
        <c:lblAlgn val="ctr"/>
        <c:lblOffset val="100"/>
        <c:noMultiLvlLbl val="0"/>
      </c:catAx>
      <c:valAx>
        <c:axId val="896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Dashboard!$K$17</c:f>
              <c:strCache>
                <c:ptCount val="1"/>
                <c:pt idx="0">
                  <c:v>Win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Dashboard!$G$18:$G$23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Dashboard!$K$18:$K$23</c:f>
              <c:numCache>
                <c:formatCode>0.0%</c:formatCode>
                <c:ptCount val="6"/>
                <c:pt idx="0">
                  <c:v>0.42</c:v>
                </c:pt>
                <c:pt idx="1">
                  <c:v>0.42499999999999999</c:v>
                </c:pt>
                <c:pt idx="2">
                  <c:v>0.43</c:v>
                </c:pt>
                <c:pt idx="3">
                  <c:v>0.435</c:v>
                </c:pt>
                <c:pt idx="4">
                  <c:v>0.44</c:v>
                </c:pt>
                <c:pt idx="5">
                  <c:v>0.44500000000000001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B-EA4D-A966-46736555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06527"/>
        <c:axId val="154232911"/>
      </c:lineChart>
      <c:catAx>
        <c:axId val="15440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2911"/>
        <c:crosses val="autoZero"/>
        <c:auto val="1"/>
        <c:lblAlgn val="ctr"/>
        <c:lblOffset val="100"/>
        <c:noMultiLvlLbl val="0"/>
      </c:catAx>
      <c:valAx>
        <c:axId val="15423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33</xdr:row>
      <xdr:rowOff>0</xdr:rowOff>
    </xdr:from>
    <xdr:to>
      <xdr:col>9</xdr:col>
      <xdr:colOff>38100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2BBA7-5E54-E885-0B00-8D2FDB6CE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32</xdr:row>
      <xdr:rowOff>158750</xdr:rowOff>
    </xdr:from>
    <xdr:to>
      <xdr:col>15</xdr:col>
      <xdr:colOff>647700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F7C2AD-D8C4-49AA-530C-ACC5B671F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</xdr:row>
      <xdr:rowOff>77241</xdr:rowOff>
    </xdr:from>
    <xdr:to>
      <xdr:col>0</xdr:col>
      <xdr:colOff>393700</xdr:colOff>
      <xdr:row>53</xdr:row>
      <xdr:rowOff>51841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83646B7-3B45-CFE9-62A9-00C9941928DE}"/>
            </a:ext>
          </a:extLst>
        </xdr:cNvPr>
        <xdr:cNvCxnSpPr/>
      </xdr:nvCxnSpPr>
      <xdr:spPr>
        <a:xfrm>
          <a:off x="381000" y="785110"/>
          <a:ext cx="12700" cy="108841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393700</xdr:colOff>
      <xdr:row>2</xdr:row>
      <xdr:rowOff>88900</xdr:rowOff>
    </xdr:from>
    <xdr:to>
      <xdr:col>16</xdr:col>
      <xdr:colOff>330200</xdr:colOff>
      <xdr:row>2</xdr:row>
      <xdr:rowOff>88900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EE0389E-4573-8D7B-6A6E-391D5F57DCBA}"/>
            </a:ext>
          </a:extLst>
        </xdr:cNvPr>
        <xdr:cNvCxnSpPr/>
      </xdr:nvCxnSpPr>
      <xdr:spPr>
        <a:xfrm>
          <a:off x="393700" y="787400"/>
          <a:ext cx="13144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330200</xdr:colOff>
      <xdr:row>2</xdr:row>
      <xdr:rowOff>88900</xdr:rowOff>
    </xdr:from>
    <xdr:to>
      <xdr:col>16</xdr:col>
      <xdr:colOff>330200</xdr:colOff>
      <xdr:row>53</xdr:row>
      <xdr:rowOff>114300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0BA9883-FED4-7C79-B537-F007440245F3}"/>
            </a:ext>
          </a:extLst>
        </xdr:cNvPr>
        <xdr:cNvCxnSpPr/>
      </xdr:nvCxnSpPr>
      <xdr:spPr>
        <a:xfrm>
          <a:off x="13538200" y="787400"/>
          <a:ext cx="0" cy="10693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395574</xdr:colOff>
      <xdr:row>53</xdr:row>
      <xdr:rowOff>104098</xdr:rowOff>
    </xdr:from>
    <xdr:to>
      <xdr:col>16</xdr:col>
      <xdr:colOff>342900</xdr:colOff>
      <xdr:row>53</xdr:row>
      <xdr:rowOff>139700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9A3404B-C6A2-AEFB-8875-2BF8A3DC440C}"/>
            </a:ext>
          </a:extLst>
        </xdr:cNvPr>
        <xdr:cNvCxnSpPr/>
      </xdr:nvCxnSpPr>
      <xdr:spPr>
        <a:xfrm>
          <a:off x="395574" y="11721475"/>
          <a:ext cx="13271916" cy="356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rirammuppanapalli/Downloads/sales_kpi_dashboard.xlsx" TargetMode="External"/><Relationship Id="rId1" Type="http://schemas.openxmlformats.org/officeDocument/2006/relationships/externalLinkPath" Target="/Users/srirammuppanapalli/Downloads/sales_kpi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KPI Summary"/>
    </sheetNames>
    <sheetDataSet>
      <sheetData sheetId="0">
        <row r="1">
          <cell r="A1" t="str">
            <v>Month</v>
          </cell>
          <cell r="B1" t="str">
            <v>Region</v>
          </cell>
          <cell r="E1" t="str">
            <v>Deals Closed</v>
          </cell>
          <cell r="G1" t="str">
            <v>New Customers</v>
          </cell>
          <cell r="I1" t="str">
            <v>Win Rate %</v>
          </cell>
        </row>
        <row r="2">
          <cell r="A2" t="str">
            <v>Jan</v>
          </cell>
          <cell r="B2" t="str">
            <v>North</v>
          </cell>
          <cell r="E2">
            <v>18</v>
          </cell>
          <cell r="G2">
            <v>8</v>
          </cell>
          <cell r="I2">
            <v>0.42</v>
          </cell>
        </row>
        <row r="3">
          <cell r="A3" t="str">
            <v>Jan</v>
          </cell>
          <cell r="B3" t="str">
            <v>South</v>
          </cell>
          <cell r="E3">
            <v>15</v>
          </cell>
          <cell r="G3">
            <v>6</v>
          </cell>
          <cell r="I3">
            <v>0.42</v>
          </cell>
        </row>
        <row r="4">
          <cell r="A4" t="str">
            <v>Jan</v>
          </cell>
          <cell r="B4" t="str">
            <v>East</v>
          </cell>
          <cell r="E4">
            <v>12</v>
          </cell>
          <cell r="G4">
            <v>5</v>
          </cell>
          <cell r="I4">
            <v>0.42</v>
          </cell>
        </row>
        <row r="5">
          <cell r="A5" t="str">
            <v>Jan</v>
          </cell>
          <cell r="B5" t="str">
            <v>West</v>
          </cell>
          <cell r="E5">
            <v>14</v>
          </cell>
          <cell r="G5">
            <v>6</v>
          </cell>
          <cell r="I5">
            <v>0.42</v>
          </cell>
        </row>
        <row r="6">
          <cell r="A6" t="str">
            <v>Feb</v>
          </cell>
          <cell r="B6" t="str">
            <v>North</v>
          </cell>
          <cell r="E6">
            <v>18</v>
          </cell>
          <cell r="G6">
            <v>8</v>
          </cell>
          <cell r="I6">
            <v>0.42499999999999999</v>
          </cell>
        </row>
        <row r="7">
          <cell r="A7" t="str">
            <v>Feb</v>
          </cell>
          <cell r="B7" t="str">
            <v>South</v>
          </cell>
          <cell r="E7">
            <v>15</v>
          </cell>
          <cell r="G7">
            <v>6</v>
          </cell>
          <cell r="I7">
            <v>0.42499999999999999</v>
          </cell>
        </row>
        <row r="8">
          <cell r="A8" t="str">
            <v>Feb</v>
          </cell>
          <cell r="B8" t="str">
            <v>East</v>
          </cell>
          <cell r="E8">
            <v>12</v>
          </cell>
          <cell r="G8">
            <v>5</v>
          </cell>
          <cell r="I8">
            <v>0.42499999999999999</v>
          </cell>
        </row>
        <row r="9">
          <cell r="A9" t="str">
            <v>Feb</v>
          </cell>
          <cell r="B9" t="str">
            <v>West</v>
          </cell>
          <cell r="E9">
            <v>14</v>
          </cell>
          <cell r="G9">
            <v>6</v>
          </cell>
          <cell r="I9">
            <v>0.42499999999999999</v>
          </cell>
        </row>
        <row r="10">
          <cell r="A10" t="str">
            <v>Mar</v>
          </cell>
          <cell r="B10" t="str">
            <v>North</v>
          </cell>
          <cell r="E10">
            <v>18</v>
          </cell>
          <cell r="G10">
            <v>8</v>
          </cell>
          <cell r="I10">
            <v>0.43</v>
          </cell>
        </row>
        <row r="11">
          <cell r="A11" t="str">
            <v>Mar</v>
          </cell>
          <cell r="B11" t="str">
            <v>South</v>
          </cell>
          <cell r="E11">
            <v>15</v>
          </cell>
          <cell r="G11">
            <v>6</v>
          </cell>
          <cell r="I11">
            <v>0.43</v>
          </cell>
        </row>
        <row r="12">
          <cell r="A12" t="str">
            <v>Mar</v>
          </cell>
          <cell r="B12" t="str">
            <v>East</v>
          </cell>
          <cell r="E12">
            <v>12</v>
          </cell>
          <cell r="G12">
            <v>5</v>
          </cell>
          <cell r="I12">
            <v>0.43</v>
          </cell>
        </row>
        <row r="13">
          <cell r="A13" t="str">
            <v>Mar</v>
          </cell>
          <cell r="B13" t="str">
            <v>West</v>
          </cell>
          <cell r="E13">
            <v>14</v>
          </cell>
          <cell r="G13">
            <v>6</v>
          </cell>
          <cell r="I13">
            <v>0.43</v>
          </cell>
        </row>
        <row r="14">
          <cell r="A14" t="str">
            <v>Apr</v>
          </cell>
          <cell r="B14" t="str">
            <v>North</v>
          </cell>
          <cell r="E14">
            <v>19</v>
          </cell>
          <cell r="G14">
            <v>8</v>
          </cell>
          <cell r="I14">
            <v>0.435</v>
          </cell>
        </row>
        <row r="15">
          <cell r="A15" t="str">
            <v>Apr</v>
          </cell>
          <cell r="B15" t="str">
            <v>South</v>
          </cell>
          <cell r="E15">
            <v>16</v>
          </cell>
          <cell r="G15">
            <v>6</v>
          </cell>
          <cell r="I15">
            <v>0.435</v>
          </cell>
        </row>
        <row r="16">
          <cell r="A16" t="str">
            <v>Apr</v>
          </cell>
          <cell r="B16" t="str">
            <v>East</v>
          </cell>
          <cell r="E16">
            <v>13</v>
          </cell>
          <cell r="G16">
            <v>5</v>
          </cell>
          <cell r="I16">
            <v>0.435</v>
          </cell>
        </row>
        <row r="17">
          <cell r="A17" t="str">
            <v>Apr</v>
          </cell>
          <cell r="B17" t="str">
            <v>West</v>
          </cell>
          <cell r="E17">
            <v>15</v>
          </cell>
          <cell r="G17">
            <v>6</v>
          </cell>
          <cell r="I17">
            <v>0.435</v>
          </cell>
        </row>
        <row r="18">
          <cell r="A18" t="str">
            <v>May</v>
          </cell>
          <cell r="B18" t="str">
            <v>North</v>
          </cell>
          <cell r="E18">
            <v>19</v>
          </cell>
          <cell r="G18">
            <v>9</v>
          </cell>
          <cell r="I18">
            <v>0.44</v>
          </cell>
        </row>
        <row r="19">
          <cell r="A19" t="str">
            <v>May</v>
          </cell>
          <cell r="B19" t="str">
            <v>South</v>
          </cell>
          <cell r="E19">
            <v>16</v>
          </cell>
          <cell r="G19">
            <v>7</v>
          </cell>
          <cell r="I19">
            <v>0.44</v>
          </cell>
        </row>
        <row r="20">
          <cell r="A20" t="str">
            <v>May</v>
          </cell>
          <cell r="B20" t="str">
            <v>East</v>
          </cell>
          <cell r="E20">
            <v>13</v>
          </cell>
          <cell r="G20">
            <v>6</v>
          </cell>
          <cell r="I20">
            <v>0.44</v>
          </cell>
        </row>
        <row r="21">
          <cell r="A21" t="str">
            <v>May</v>
          </cell>
          <cell r="B21" t="str">
            <v>West</v>
          </cell>
          <cell r="E21">
            <v>15</v>
          </cell>
          <cell r="G21">
            <v>7</v>
          </cell>
          <cell r="I21">
            <v>0.44</v>
          </cell>
        </row>
        <row r="22">
          <cell r="A22" t="str">
            <v>Jun</v>
          </cell>
          <cell r="B22" t="str">
            <v>North</v>
          </cell>
          <cell r="E22">
            <v>19</v>
          </cell>
          <cell r="G22">
            <v>9</v>
          </cell>
          <cell r="I22">
            <v>0.44500000000000001</v>
          </cell>
        </row>
        <row r="23">
          <cell r="A23" t="str">
            <v>Jun</v>
          </cell>
          <cell r="B23" t="str">
            <v>South</v>
          </cell>
          <cell r="E23">
            <v>16</v>
          </cell>
          <cell r="G23">
            <v>7</v>
          </cell>
          <cell r="I23">
            <v>0.44500000000000001</v>
          </cell>
        </row>
        <row r="24">
          <cell r="A24" t="str">
            <v>Jun</v>
          </cell>
          <cell r="B24" t="str">
            <v>East</v>
          </cell>
          <cell r="E24">
            <v>13</v>
          </cell>
          <cell r="G24">
            <v>6</v>
          </cell>
          <cell r="I24">
            <v>0.44500000000000001</v>
          </cell>
        </row>
        <row r="25">
          <cell r="A25" t="str">
            <v>Jun</v>
          </cell>
          <cell r="B25" t="str">
            <v>West</v>
          </cell>
          <cell r="E25">
            <v>15</v>
          </cell>
          <cell r="G25">
            <v>7</v>
          </cell>
          <cell r="I25">
            <v>0.44500000000000001</v>
          </cell>
        </row>
        <row r="26">
          <cell r="A26" t="str">
            <v>Jul</v>
          </cell>
          <cell r="B26" t="str">
            <v>North</v>
          </cell>
          <cell r="E26">
            <v>20</v>
          </cell>
          <cell r="G26">
            <v>9</v>
          </cell>
          <cell r="I26">
            <v>0.45</v>
          </cell>
        </row>
        <row r="27">
          <cell r="A27" t="str">
            <v>Jul</v>
          </cell>
          <cell r="B27" t="str">
            <v>South</v>
          </cell>
          <cell r="E27">
            <v>17</v>
          </cell>
          <cell r="G27">
            <v>7</v>
          </cell>
          <cell r="I27">
            <v>0.45</v>
          </cell>
        </row>
        <row r="28">
          <cell r="A28" t="str">
            <v>Jul</v>
          </cell>
          <cell r="B28" t="str">
            <v>East</v>
          </cell>
          <cell r="E28">
            <v>14</v>
          </cell>
          <cell r="G28">
            <v>6</v>
          </cell>
          <cell r="I28">
            <v>0.45</v>
          </cell>
        </row>
        <row r="29">
          <cell r="A29" t="str">
            <v>Jul</v>
          </cell>
          <cell r="B29" t="str">
            <v>West</v>
          </cell>
          <cell r="E29">
            <v>16</v>
          </cell>
          <cell r="G29">
            <v>7</v>
          </cell>
          <cell r="I29">
            <v>0.45</v>
          </cell>
        </row>
        <row r="30">
          <cell r="A30" t="str">
            <v>Aug</v>
          </cell>
          <cell r="B30" t="str">
            <v>North</v>
          </cell>
          <cell r="E30">
            <v>20</v>
          </cell>
          <cell r="G30">
            <v>9</v>
          </cell>
          <cell r="I30">
            <v>0.45500000000000002</v>
          </cell>
        </row>
        <row r="31">
          <cell r="A31" t="str">
            <v>Aug</v>
          </cell>
          <cell r="B31" t="str">
            <v>South</v>
          </cell>
          <cell r="E31">
            <v>17</v>
          </cell>
          <cell r="G31">
            <v>7</v>
          </cell>
          <cell r="I31">
            <v>0.45500000000000002</v>
          </cell>
        </row>
        <row r="32">
          <cell r="A32" t="str">
            <v>Aug</v>
          </cell>
          <cell r="B32" t="str">
            <v>East</v>
          </cell>
          <cell r="E32">
            <v>14</v>
          </cell>
          <cell r="G32">
            <v>6</v>
          </cell>
          <cell r="I32">
            <v>0.45500000000000002</v>
          </cell>
        </row>
        <row r="33">
          <cell r="A33" t="str">
            <v>Aug</v>
          </cell>
          <cell r="B33" t="str">
            <v>West</v>
          </cell>
          <cell r="E33">
            <v>16</v>
          </cell>
          <cell r="G33">
            <v>7</v>
          </cell>
          <cell r="I33">
            <v>0.45500000000000002</v>
          </cell>
        </row>
        <row r="34">
          <cell r="A34" t="str">
            <v>Sep</v>
          </cell>
          <cell r="B34" t="str">
            <v>North</v>
          </cell>
          <cell r="E34">
            <v>20</v>
          </cell>
          <cell r="G34">
            <v>10</v>
          </cell>
          <cell r="I34">
            <v>0.46</v>
          </cell>
        </row>
        <row r="35">
          <cell r="A35" t="str">
            <v>Sep</v>
          </cell>
          <cell r="B35" t="str">
            <v>South</v>
          </cell>
          <cell r="E35">
            <v>17</v>
          </cell>
          <cell r="G35">
            <v>8</v>
          </cell>
          <cell r="I35">
            <v>0.46</v>
          </cell>
        </row>
        <row r="36">
          <cell r="A36" t="str">
            <v>Sep</v>
          </cell>
          <cell r="B36" t="str">
            <v>East</v>
          </cell>
          <cell r="E36">
            <v>14</v>
          </cell>
          <cell r="G36">
            <v>7</v>
          </cell>
          <cell r="I36">
            <v>0.46</v>
          </cell>
        </row>
        <row r="37">
          <cell r="A37" t="str">
            <v>Sep</v>
          </cell>
          <cell r="B37" t="str">
            <v>West</v>
          </cell>
          <cell r="E37">
            <v>16</v>
          </cell>
          <cell r="G37">
            <v>8</v>
          </cell>
          <cell r="I37">
            <v>0.46</v>
          </cell>
        </row>
        <row r="38">
          <cell r="A38" t="str">
            <v>Oct</v>
          </cell>
          <cell r="B38" t="str">
            <v>North</v>
          </cell>
          <cell r="E38">
            <v>21</v>
          </cell>
          <cell r="G38">
            <v>10</v>
          </cell>
          <cell r="I38">
            <v>0.46500000000000002</v>
          </cell>
        </row>
        <row r="39">
          <cell r="A39" t="str">
            <v>Oct</v>
          </cell>
          <cell r="B39" t="str">
            <v>South</v>
          </cell>
          <cell r="E39">
            <v>18</v>
          </cell>
          <cell r="G39">
            <v>8</v>
          </cell>
          <cell r="I39">
            <v>0.46500000000000002</v>
          </cell>
        </row>
        <row r="40">
          <cell r="A40" t="str">
            <v>Oct</v>
          </cell>
          <cell r="B40" t="str">
            <v>East</v>
          </cell>
          <cell r="E40">
            <v>15</v>
          </cell>
          <cell r="G40">
            <v>7</v>
          </cell>
          <cell r="I40">
            <v>0.46500000000000002</v>
          </cell>
        </row>
        <row r="41">
          <cell r="A41" t="str">
            <v>Oct</v>
          </cell>
          <cell r="B41" t="str">
            <v>West</v>
          </cell>
          <cell r="E41">
            <v>17</v>
          </cell>
          <cell r="G41">
            <v>8</v>
          </cell>
          <cell r="I41">
            <v>0.46500000000000002</v>
          </cell>
        </row>
        <row r="42">
          <cell r="A42" t="str">
            <v>Nov</v>
          </cell>
          <cell r="B42" t="str">
            <v>North</v>
          </cell>
          <cell r="E42">
            <v>21</v>
          </cell>
          <cell r="G42">
            <v>10</v>
          </cell>
          <cell r="I42">
            <v>0.47</v>
          </cell>
        </row>
        <row r="43">
          <cell r="A43" t="str">
            <v>Nov</v>
          </cell>
          <cell r="B43" t="str">
            <v>South</v>
          </cell>
          <cell r="E43">
            <v>18</v>
          </cell>
          <cell r="G43">
            <v>8</v>
          </cell>
          <cell r="I43">
            <v>0.47</v>
          </cell>
        </row>
        <row r="44">
          <cell r="A44" t="str">
            <v>Nov</v>
          </cell>
          <cell r="B44" t="str">
            <v>East</v>
          </cell>
          <cell r="E44">
            <v>15</v>
          </cell>
          <cell r="G44">
            <v>7</v>
          </cell>
          <cell r="I44">
            <v>0.47</v>
          </cell>
        </row>
        <row r="45">
          <cell r="A45" t="str">
            <v>Nov</v>
          </cell>
          <cell r="B45" t="str">
            <v>West</v>
          </cell>
          <cell r="E45">
            <v>17</v>
          </cell>
          <cell r="G45">
            <v>8</v>
          </cell>
          <cell r="I45">
            <v>0.47</v>
          </cell>
        </row>
        <row r="46">
          <cell r="A46" t="str">
            <v>Dec</v>
          </cell>
          <cell r="B46" t="str">
            <v>North</v>
          </cell>
          <cell r="E46">
            <v>21</v>
          </cell>
          <cell r="G46">
            <v>10</v>
          </cell>
          <cell r="I46">
            <v>0.47499999999999998</v>
          </cell>
        </row>
        <row r="47">
          <cell r="A47" t="str">
            <v>Dec</v>
          </cell>
          <cell r="B47" t="str">
            <v>South</v>
          </cell>
          <cell r="E47">
            <v>18</v>
          </cell>
          <cell r="G47">
            <v>8</v>
          </cell>
          <cell r="I47">
            <v>0.47499999999999998</v>
          </cell>
        </row>
        <row r="48">
          <cell r="A48" t="str">
            <v>Dec</v>
          </cell>
          <cell r="B48" t="str">
            <v>East</v>
          </cell>
          <cell r="E48">
            <v>15</v>
          </cell>
          <cell r="G48">
            <v>7</v>
          </cell>
          <cell r="I48">
            <v>0.47499999999999998</v>
          </cell>
        </row>
        <row r="49">
          <cell r="A49" t="str">
            <v>Dec</v>
          </cell>
          <cell r="B49" t="str">
            <v>West</v>
          </cell>
          <cell r="E49">
            <v>17</v>
          </cell>
          <cell r="G49">
            <v>8</v>
          </cell>
          <cell r="I49">
            <v>0.47499999999999998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A0C64-CA4A-F146-946D-297CB3D26E3B}" name="Table2" displayName="Table2" ref="A1:H25" totalsRowShown="0" headerRowDxfId="0" dataDxfId="1">
  <autoFilter ref="A1:H25" xr:uid="{0C8A0C64-CA4A-F146-946D-297CB3D26E3B}"/>
  <tableColumns count="8">
    <tableColumn id="1" xr3:uid="{A5390BA6-463C-A448-A766-FE3BE7E2C2AB}" name="Month" dataDxfId="9"/>
    <tableColumn id="2" xr3:uid="{1FD7AC27-70A2-9941-BE44-7EE85C77B97B}" name="Region" dataDxfId="8"/>
    <tableColumn id="3" xr3:uid="{D661CE68-564E-0645-BA1C-1D0EB0BB1C47}" name="Actual sales" dataDxfId="7"/>
    <tableColumn id="4" xr3:uid="{EEB1952E-F39F-5242-A738-0E956A488058}" name="Target sales" dataDxfId="6"/>
    <tableColumn id="5" xr3:uid="{078BDEC4-6518-7740-AE52-61560BD99BA2}" name="Deals closed" dataDxfId="5"/>
    <tableColumn id="6" xr3:uid="{CBC57F5F-C870-FE41-99CA-80A575C61675}" name="New Customers" dataDxfId="4"/>
    <tableColumn id="7" xr3:uid="{E8719089-66E0-9248-A8FB-3228185EE392}" name="win Rate %" dataDxfId="3"/>
    <tableColumn id="8" xr3:uid="{093B9213-675A-7647-A2F7-90255AA9DBBE}" name="Chun rate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A767-8FD1-A34B-A17A-EE496DCA9A92}">
  <dimension ref="A1:I25"/>
  <sheetViews>
    <sheetView tabSelected="1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5" style="1" customWidth="1"/>
    <col min="4" max="4" width="15.1640625" style="1" customWidth="1"/>
    <col min="5" max="5" width="15.6640625" style="1" customWidth="1"/>
    <col min="6" max="6" width="18.83203125" style="1" customWidth="1"/>
    <col min="7" max="7" width="14.1640625" style="1" customWidth="1"/>
    <col min="8" max="8" width="15.33203125" style="1" customWidth="1"/>
  </cols>
  <sheetData>
    <row r="1" spans="1:8" ht="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34</v>
      </c>
    </row>
    <row r="2" spans="1:8" ht="19" x14ac:dyDescent="0.25">
      <c r="A2" s="4" t="s">
        <v>11</v>
      </c>
      <c r="B2" s="1" t="s">
        <v>15</v>
      </c>
      <c r="C2" s="4">
        <v>42000</v>
      </c>
      <c r="D2" s="1">
        <v>40000</v>
      </c>
      <c r="E2" s="1">
        <v>18</v>
      </c>
      <c r="F2" s="1">
        <v>8</v>
      </c>
      <c r="G2" s="1">
        <v>42</v>
      </c>
      <c r="H2" s="1">
        <v>2.5</v>
      </c>
    </row>
    <row r="3" spans="1:8" ht="19" x14ac:dyDescent="0.25">
      <c r="A3" s="4" t="s">
        <v>11</v>
      </c>
      <c r="B3" s="1" t="s">
        <v>16</v>
      </c>
      <c r="C3" s="1">
        <v>35000</v>
      </c>
      <c r="D3" s="1">
        <v>33000</v>
      </c>
      <c r="E3" s="1">
        <v>15</v>
      </c>
      <c r="F3" s="1">
        <v>6</v>
      </c>
      <c r="G3" s="1">
        <v>40</v>
      </c>
      <c r="H3" s="1">
        <v>2.5</v>
      </c>
    </row>
    <row r="4" spans="1:8" ht="19" x14ac:dyDescent="0.25">
      <c r="A4" s="4" t="s">
        <v>11</v>
      </c>
      <c r="B4" s="1" t="s">
        <v>17</v>
      </c>
      <c r="C4" s="1">
        <v>28000</v>
      </c>
      <c r="D4" s="1">
        <v>27000</v>
      </c>
      <c r="E4" s="1">
        <v>12</v>
      </c>
      <c r="F4" s="1">
        <v>5</v>
      </c>
      <c r="G4" s="1">
        <v>38</v>
      </c>
      <c r="H4" s="1">
        <v>2.5</v>
      </c>
    </row>
    <row r="5" spans="1:8" ht="19" x14ac:dyDescent="0.25">
      <c r="A5" s="4" t="s">
        <v>11</v>
      </c>
      <c r="B5" s="1" t="s">
        <v>18</v>
      </c>
      <c r="C5" s="1">
        <v>31000</v>
      </c>
      <c r="D5" s="1">
        <v>30000</v>
      </c>
      <c r="E5" s="1">
        <v>14</v>
      </c>
      <c r="F5" s="1">
        <v>6</v>
      </c>
      <c r="G5" s="1">
        <v>41</v>
      </c>
      <c r="H5" s="1">
        <v>2.5</v>
      </c>
    </row>
    <row r="6" spans="1:8" ht="19" x14ac:dyDescent="0.25">
      <c r="A6" s="4" t="s">
        <v>7</v>
      </c>
      <c r="B6" s="1" t="s">
        <v>15</v>
      </c>
      <c r="C6" s="1">
        <v>38000</v>
      </c>
      <c r="D6" s="1">
        <v>40000</v>
      </c>
      <c r="E6" s="1">
        <v>16</v>
      </c>
      <c r="F6" s="1">
        <v>7</v>
      </c>
      <c r="G6" s="1">
        <v>43</v>
      </c>
      <c r="H6" s="1">
        <v>2.5</v>
      </c>
    </row>
    <row r="7" spans="1:8" ht="19" x14ac:dyDescent="0.25">
      <c r="A7" s="4" t="s">
        <v>7</v>
      </c>
      <c r="B7" s="1" t="s">
        <v>16</v>
      </c>
      <c r="C7" s="1">
        <v>33000</v>
      </c>
      <c r="D7" s="1">
        <v>33000</v>
      </c>
      <c r="E7" s="1">
        <v>14</v>
      </c>
      <c r="F7" s="1">
        <v>5</v>
      </c>
      <c r="G7" s="1">
        <v>41</v>
      </c>
      <c r="H7" s="1">
        <v>2.5</v>
      </c>
    </row>
    <row r="8" spans="1:8" ht="19" x14ac:dyDescent="0.25">
      <c r="A8" s="4" t="s">
        <v>7</v>
      </c>
      <c r="B8" s="1" t="s">
        <v>17</v>
      </c>
      <c r="C8" s="1">
        <v>26000</v>
      </c>
      <c r="D8" s="1">
        <v>27000</v>
      </c>
      <c r="E8" s="1">
        <v>11</v>
      </c>
      <c r="F8" s="1">
        <v>4</v>
      </c>
      <c r="G8" s="1">
        <v>39</v>
      </c>
      <c r="H8" s="1">
        <v>2.5</v>
      </c>
    </row>
    <row r="9" spans="1:8" ht="19" x14ac:dyDescent="0.25">
      <c r="A9" s="4" t="s">
        <v>7</v>
      </c>
      <c r="B9" s="1" t="s">
        <v>18</v>
      </c>
      <c r="C9" s="1">
        <v>29000</v>
      </c>
      <c r="D9" s="1">
        <v>30000</v>
      </c>
      <c r="E9" s="1">
        <v>13</v>
      </c>
      <c r="F9" s="1">
        <v>5</v>
      </c>
      <c r="G9" s="1">
        <v>40</v>
      </c>
      <c r="H9" s="1">
        <v>2.5</v>
      </c>
    </row>
    <row r="10" spans="1:8" ht="19" x14ac:dyDescent="0.25">
      <c r="A10" s="4" t="s">
        <v>12</v>
      </c>
      <c r="B10" s="1" t="s">
        <v>15</v>
      </c>
      <c r="C10" s="1">
        <v>51000</v>
      </c>
      <c r="D10" s="1">
        <v>48000</v>
      </c>
      <c r="E10" s="1">
        <v>20</v>
      </c>
      <c r="F10" s="1">
        <v>9</v>
      </c>
      <c r="G10" s="1">
        <v>44</v>
      </c>
      <c r="H10" s="1">
        <v>2.4</v>
      </c>
    </row>
    <row r="11" spans="1:8" ht="19" x14ac:dyDescent="0.25">
      <c r="A11" s="4" t="s">
        <v>12</v>
      </c>
      <c r="B11" s="1" t="s">
        <v>16</v>
      </c>
      <c r="C11" s="1">
        <v>41000</v>
      </c>
      <c r="D11" s="1">
        <v>39000</v>
      </c>
      <c r="E11" s="1">
        <v>17</v>
      </c>
      <c r="F11" s="1">
        <v>7</v>
      </c>
      <c r="G11" s="1">
        <v>42</v>
      </c>
      <c r="H11" s="1">
        <v>2.4</v>
      </c>
    </row>
    <row r="12" spans="1:8" ht="19" x14ac:dyDescent="0.25">
      <c r="A12" s="4" t="s">
        <v>12</v>
      </c>
      <c r="B12" s="1" t="s">
        <v>17</v>
      </c>
      <c r="C12" s="1">
        <v>33000</v>
      </c>
      <c r="D12" s="1">
        <v>31000</v>
      </c>
      <c r="E12" s="1">
        <v>13</v>
      </c>
      <c r="F12" s="1">
        <v>5</v>
      </c>
      <c r="G12" s="1">
        <v>40</v>
      </c>
      <c r="H12" s="1">
        <v>2.4</v>
      </c>
    </row>
    <row r="13" spans="1:8" ht="19" x14ac:dyDescent="0.25">
      <c r="A13" s="4" t="s">
        <v>12</v>
      </c>
      <c r="B13" s="1" t="s">
        <v>18</v>
      </c>
      <c r="C13" s="1">
        <v>38000</v>
      </c>
      <c r="D13" s="1">
        <v>36000</v>
      </c>
      <c r="E13" s="1">
        <v>15</v>
      </c>
      <c r="F13" s="1">
        <v>6</v>
      </c>
      <c r="G13" s="1">
        <v>43</v>
      </c>
      <c r="H13" s="1">
        <v>2.4</v>
      </c>
    </row>
    <row r="14" spans="1:8" ht="19" x14ac:dyDescent="0.25">
      <c r="A14" s="4" t="s">
        <v>13</v>
      </c>
      <c r="B14" s="1" t="s">
        <v>15</v>
      </c>
      <c r="C14" s="1">
        <v>47000</v>
      </c>
      <c r="D14" s="1">
        <v>48000</v>
      </c>
      <c r="E14" s="1">
        <v>19</v>
      </c>
      <c r="F14" s="1">
        <v>8</v>
      </c>
      <c r="G14" s="1">
        <v>45</v>
      </c>
      <c r="H14" s="1">
        <v>2.4</v>
      </c>
    </row>
    <row r="15" spans="1:8" ht="19" x14ac:dyDescent="0.25">
      <c r="A15" s="4" t="s">
        <v>13</v>
      </c>
      <c r="B15" s="1" t="s">
        <v>16</v>
      </c>
      <c r="C15" s="1">
        <v>39000</v>
      </c>
      <c r="D15" s="1">
        <v>39000</v>
      </c>
      <c r="E15" s="1">
        <v>16</v>
      </c>
      <c r="F15" s="1">
        <v>6</v>
      </c>
      <c r="G15" s="1">
        <v>43</v>
      </c>
      <c r="H15" s="1">
        <v>2.4</v>
      </c>
    </row>
    <row r="16" spans="1:8" ht="19" x14ac:dyDescent="0.25">
      <c r="A16" s="4" t="s">
        <v>13</v>
      </c>
      <c r="B16" s="1" t="s">
        <v>17</v>
      </c>
      <c r="C16" s="1">
        <v>31000</v>
      </c>
      <c r="D16" s="1">
        <v>31000</v>
      </c>
      <c r="E16" s="1">
        <v>12</v>
      </c>
      <c r="F16" s="1">
        <v>5</v>
      </c>
      <c r="G16" s="1">
        <v>41</v>
      </c>
      <c r="H16" s="1">
        <v>2.4</v>
      </c>
    </row>
    <row r="17" spans="1:9" ht="19" x14ac:dyDescent="0.25">
      <c r="A17" s="4" t="s">
        <v>13</v>
      </c>
      <c r="B17" s="1" t="s">
        <v>18</v>
      </c>
      <c r="C17" s="1">
        <v>35000</v>
      </c>
      <c r="D17" s="1">
        <v>36000</v>
      </c>
      <c r="E17" s="1">
        <v>14</v>
      </c>
      <c r="F17" s="1">
        <v>6</v>
      </c>
      <c r="G17" s="1">
        <v>44</v>
      </c>
      <c r="H17" s="1">
        <v>2.4</v>
      </c>
    </row>
    <row r="18" spans="1:9" ht="19" x14ac:dyDescent="0.25">
      <c r="A18" s="4" t="s">
        <v>8</v>
      </c>
      <c r="B18" s="1" t="s">
        <v>15</v>
      </c>
      <c r="C18" s="1">
        <v>55000</v>
      </c>
      <c r="D18" s="1">
        <v>52000</v>
      </c>
      <c r="E18" s="1">
        <v>21</v>
      </c>
      <c r="F18" s="1">
        <v>9</v>
      </c>
      <c r="G18" s="1">
        <v>46</v>
      </c>
      <c r="H18" s="1">
        <v>2.2999999999999998</v>
      </c>
    </row>
    <row r="19" spans="1:9" ht="19" x14ac:dyDescent="0.25">
      <c r="A19" s="4" t="s">
        <v>8</v>
      </c>
      <c r="B19" s="1" t="s">
        <v>16</v>
      </c>
      <c r="C19" s="1">
        <v>44000</v>
      </c>
      <c r="D19" s="1">
        <v>42000</v>
      </c>
      <c r="E19" s="1">
        <v>18</v>
      </c>
      <c r="F19" s="1">
        <v>7</v>
      </c>
      <c r="G19" s="1">
        <v>44</v>
      </c>
      <c r="H19" s="1">
        <v>2.2999999999999998</v>
      </c>
    </row>
    <row r="20" spans="1:9" ht="19" x14ac:dyDescent="0.25">
      <c r="A20" s="4" t="s">
        <v>8</v>
      </c>
      <c r="B20" s="1" t="s">
        <v>17</v>
      </c>
      <c r="C20" s="1">
        <v>37000</v>
      </c>
      <c r="D20" s="1">
        <v>35000</v>
      </c>
      <c r="E20" s="1">
        <v>14</v>
      </c>
      <c r="F20" s="1">
        <v>6</v>
      </c>
      <c r="G20" s="1">
        <v>42</v>
      </c>
      <c r="H20" s="1">
        <v>2.2999999999999998</v>
      </c>
    </row>
    <row r="21" spans="1:9" ht="19" x14ac:dyDescent="0.25">
      <c r="A21" s="4" t="s">
        <v>8</v>
      </c>
      <c r="B21" s="1" t="s">
        <v>18</v>
      </c>
      <c r="C21" s="1">
        <v>40000</v>
      </c>
      <c r="D21" s="1">
        <v>38000</v>
      </c>
      <c r="E21" s="1">
        <v>16</v>
      </c>
      <c r="F21" s="1">
        <v>7</v>
      </c>
      <c r="G21" s="1">
        <v>45</v>
      </c>
      <c r="H21" s="1">
        <v>2.2999999999999998</v>
      </c>
    </row>
    <row r="22" spans="1:9" ht="19" x14ac:dyDescent="0.25">
      <c r="A22" s="4" t="s">
        <v>14</v>
      </c>
      <c r="B22" s="1" t="s">
        <v>15</v>
      </c>
      <c r="C22" s="1">
        <v>61000</v>
      </c>
      <c r="D22" s="1">
        <v>58000</v>
      </c>
      <c r="E22" s="1">
        <v>23</v>
      </c>
      <c r="F22" s="1">
        <v>10</v>
      </c>
      <c r="G22" s="1">
        <v>47</v>
      </c>
      <c r="H22" s="1">
        <v>2.2000000000000002</v>
      </c>
    </row>
    <row r="23" spans="1:9" ht="19" x14ac:dyDescent="0.25">
      <c r="A23" s="4" t="s">
        <v>14</v>
      </c>
      <c r="B23" s="1" t="s">
        <v>16</v>
      </c>
      <c r="C23" s="1">
        <v>50000</v>
      </c>
      <c r="D23" s="1">
        <v>48000</v>
      </c>
      <c r="E23" s="1">
        <v>19</v>
      </c>
      <c r="F23" s="1">
        <v>8</v>
      </c>
      <c r="G23" s="1">
        <v>45</v>
      </c>
      <c r="H23" s="1">
        <v>2.2000000000000002</v>
      </c>
    </row>
    <row r="24" spans="1:9" ht="19" x14ac:dyDescent="0.25">
      <c r="A24" s="4" t="s">
        <v>14</v>
      </c>
      <c r="B24" s="1" t="s">
        <v>17</v>
      </c>
      <c r="C24" s="1">
        <v>42000</v>
      </c>
      <c r="D24" s="1">
        <v>40000</v>
      </c>
      <c r="E24" s="1">
        <v>16</v>
      </c>
      <c r="F24" s="1">
        <v>6</v>
      </c>
      <c r="G24" s="1">
        <v>43</v>
      </c>
      <c r="H24" s="1">
        <v>2.2000000000000002</v>
      </c>
    </row>
    <row r="25" spans="1:9" ht="19" x14ac:dyDescent="0.25">
      <c r="A25" s="4" t="s">
        <v>14</v>
      </c>
      <c r="B25" s="1" t="s">
        <v>18</v>
      </c>
      <c r="C25" s="1">
        <v>46000</v>
      </c>
      <c r="D25" s="1">
        <v>44000</v>
      </c>
      <c r="E25" s="1">
        <v>18</v>
      </c>
      <c r="F25" s="1">
        <v>7</v>
      </c>
      <c r="G25" s="1">
        <v>46</v>
      </c>
      <c r="H25" s="1">
        <v>2.2000000000000002</v>
      </c>
      <c r="I2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1CB2-581D-FC4B-A254-C5E840EF2FD5}">
  <dimension ref="A1:Q30"/>
  <sheetViews>
    <sheetView zoomScale="61" workbookViewId="0">
      <selection activeCell="O22" sqref="O22"/>
    </sheetView>
  </sheetViews>
  <sheetFormatPr baseColWidth="10" defaultRowHeight="16" x14ac:dyDescent="0.2"/>
  <cols>
    <col min="1" max="16384" width="10.83203125" style="2"/>
  </cols>
  <sheetData>
    <row r="1" spans="1:17" ht="39" customHeight="1" x14ac:dyDescent="0.45">
      <c r="A1" s="15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6" customHeight="1" x14ac:dyDescent="0.2">
      <c r="A2" s="14" t="s">
        <v>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6" customHeight="1" x14ac:dyDescent="0.3">
      <c r="B3" s="5"/>
      <c r="C3" s="5"/>
      <c r="D3" s="5"/>
      <c r="F3" s="5"/>
      <c r="G3" s="5"/>
      <c r="H3" s="5"/>
      <c r="J3" s="5"/>
      <c r="K3" s="5"/>
      <c r="L3" s="5"/>
      <c r="N3" s="5"/>
      <c r="O3" s="5"/>
      <c r="P3" s="5"/>
    </row>
    <row r="4" spans="1:17" ht="16" customHeight="1" x14ac:dyDescent="0.3">
      <c r="B4" s="7" t="s">
        <v>9</v>
      </c>
      <c r="C4" s="6"/>
      <c r="D4" s="6"/>
      <c r="F4" s="9" t="s">
        <v>10</v>
      </c>
      <c r="G4" s="9"/>
      <c r="H4" s="9"/>
      <c r="J4" s="12" t="s">
        <v>5</v>
      </c>
      <c r="K4" s="13"/>
      <c r="L4" s="13"/>
      <c r="N4" s="12" t="s">
        <v>19</v>
      </c>
      <c r="O4" s="13"/>
      <c r="P4" s="13"/>
    </row>
    <row r="5" spans="1:17" x14ac:dyDescent="0.2">
      <c r="B5" s="8">
        <f>SUM('Raw Data'!C:C)</f>
        <v>952000</v>
      </c>
      <c r="C5" s="8"/>
      <c r="D5" s="8"/>
      <c r="F5" s="8">
        <f>SUM('Raw Data'!E:E)</f>
        <v>384</v>
      </c>
      <c r="G5" s="8"/>
      <c r="H5" s="8"/>
      <c r="J5" s="8">
        <f>SUM('Raw Data'!F:F)</f>
        <v>158</v>
      </c>
      <c r="K5" s="8"/>
      <c r="L5" s="8"/>
      <c r="N5" s="8">
        <f>AVERAGE('Raw Data'!G:G)</f>
        <v>42.666666666666664</v>
      </c>
      <c r="O5" s="8"/>
      <c r="P5" s="8"/>
    </row>
    <row r="6" spans="1:17" x14ac:dyDescent="0.2">
      <c r="B6" s="8"/>
      <c r="C6" s="8"/>
      <c r="D6" s="8"/>
      <c r="F6" s="8"/>
      <c r="G6" s="8"/>
      <c r="H6" s="8"/>
      <c r="J6" s="8"/>
      <c r="K6" s="8"/>
      <c r="L6" s="8"/>
      <c r="N6" s="8"/>
      <c r="O6" s="8"/>
      <c r="P6" s="8"/>
    </row>
    <row r="7" spans="1:17" x14ac:dyDescent="0.2">
      <c r="B7" s="8"/>
      <c r="C7" s="8"/>
      <c r="D7" s="8"/>
      <c r="F7" s="8"/>
      <c r="G7" s="8"/>
      <c r="H7" s="8"/>
      <c r="J7" s="8"/>
      <c r="K7" s="8"/>
      <c r="L7" s="8"/>
      <c r="N7" s="8"/>
      <c r="O7" s="8"/>
      <c r="P7" s="8"/>
    </row>
    <row r="8" spans="1:17" x14ac:dyDescent="0.2">
      <c r="F8" s="10"/>
    </row>
    <row r="9" spans="1:17" x14ac:dyDescent="0.2">
      <c r="F9" s="16" t="s">
        <v>22</v>
      </c>
      <c r="G9" s="16"/>
      <c r="H9" s="16"/>
      <c r="I9" s="16"/>
      <c r="J9" s="16"/>
      <c r="K9" s="16"/>
      <c r="L9" s="16"/>
    </row>
    <row r="10" spans="1:17" x14ac:dyDescent="0.2">
      <c r="F10" s="23" t="s">
        <v>0</v>
      </c>
      <c r="G10" s="11" t="s">
        <v>11</v>
      </c>
      <c r="H10" s="11" t="s">
        <v>7</v>
      </c>
      <c r="I10" s="11" t="s">
        <v>12</v>
      </c>
      <c r="J10" s="11" t="s">
        <v>13</v>
      </c>
      <c r="K10" s="11" t="s">
        <v>8</v>
      </c>
      <c r="L10" s="11" t="s">
        <v>14</v>
      </c>
    </row>
    <row r="11" spans="1:17" x14ac:dyDescent="0.2">
      <c r="F11" s="21" t="s">
        <v>23</v>
      </c>
      <c r="G11" s="17">
        <f>SUMIF('Raw Data'!A:A,"Jan",'Raw Data'!C:C)</f>
        <v>136000</v>
      </c>
      <c r="H11" s="17">
        <f>SUMIF('Raw Data'!A:A,"Feb",'Raw Data'!C:C)</f>
        <v>126000</v>
      </c>
      <c r="I11" s="17">
        <f>SUMIF('Raw Data'!A:A,"Mar",'Raw Data'!C:C)</f>
        <v>163000</v>
      </c>
      <c r="J11" s="17">
        <f>SUMIF('Raw Data'!A:A,"Apr",'Raw Data'!C:C)</f>
        <v>152000</v>
      </c>
      <c r="K11" s="17">
        <f>SUMIF('Raw Data'!A:A,"May",'Raw Data'!C:C)</f>
        <v>176000</v>
      </c>
      <c r="L11" s="17">
        <f>SUMIF('Raw Data'!A:A,"Jun",'Raw Data'!C:C)</f>
        <v>199000</v>
      </c>
    </row>
    <row r="12" spans="1:17" x14ac:dyDescent="0.2">
      <c r="F12" s="22" t="s">
        <v>24</v>
      </c>
      <c r="G12" s="18">
        <f>SUMIF('Raw Data'!A:A,"Jan",'Raw Data'!D:D)</f>
        <v>130000</v>
      </c>
      <c r="H12" s="18">
        <f>SUMIF('Raw Data'!A:A,"Feb",'Raw Data'!D:D)</f>
        <v>130000</v>
      </c>
      <c r="I12" s="18">
        <f>SUMIF('Raw Data'!A:A,"Mar",'Raw Data'!D:D)</f>
        <v>154000</v>
      </c>
      <c r="J12" s="18">
        <f>SUMIF('Raw Data'!A:A,"Apr",'Raw Data'!D:D)</f>
        <v>154000</v>
      </c>
      <c r="K12" s="18">
        <f>SUMIF('Raw Data'!A:A,"May",'Raw Data'!D:D)</f>
        <v>167000</v>
      </c>
      <c r="L12" s="18">
        <f>SUMIF('Raw Data'!A:A,"Jun",'Raw Data'!D:D)</f>
        <v>190000</v>
      </c>
    </row>
    <row r="13" spans="1:17" x14ac:dyDescent="0.2">
      <c r="F13" s="20" t="s">
        <v>25</v>
      </c>
      <c r="G13" s="19">
        <f>G11/G12*100</f>
        <v>104.61538461538463</v>
      </c>
      <c r="H13" s="19">
        <f>H11/H12*100</f>
        <v>96.92307692307692</v>
      </c>
      <c r="I13" s="19">
        <f>I11/I12*100</f>
        <v>105.84415584415585</v>
      </c>
      <c r="J13" s="19">
        <f>J11/J12*100</f>
        <v>98.701298701298697</v>
      </c>
      <c r="K13" s="19">
        <f>K11/K12*100</f>
        <v>105.38922155688624</v>
      </c>
      <c r="L13" s="19">
        <f>L11/L12*100</f>
        <v>104.73684210526315</v>
      </c>
    </row>
    <row r="16" spans="1:17" x14ac:dyDescent="0.2">
      <c r="G16" s="24" t="s">
        <v>26</v>
      </c>
      <c r="H16" s="24"/>
      <c r="I16" s="24"/>
      <c r="J16" s="24"/>
      <c r="K16" s="24"/>
    </row>
    <row r="17" spans="6:12" ht="28" x14ac:dyDescent="0.2">
      <c r="G17" s="25" t="s">
        <v>0</v>
      </c>
      <c r="H17" s="25" t="s">
        <v>29</v>
      </c>
      <c r="I17" s="25" t="s">
        <v>5</v>
      </c>
      <c r="J17" s="25" t="s">
        <v>33</v>
      </c>
      <c r="K17" s="25" t="s">
        <v>28</v>
      </c>
    </row>
    <row r="18" spans="6:12" x14ac:dyDescent="0.2">
      <c r="G18" s="26" t="s">
        <v>11</v>
      </c>
      <c r="H18" s="27">
        <f>SUMIF('[1]Raw Data'!A:A,"Jan",'[1]Raw Data'!E:E)</f>
        <v>59</v>
      </c>
      <c r="I18" s="27">
        <f>SUMIF('[1]Raw Data'!A:A,"Jan",'[1]Raw Data'!G:G)</f>
        <v>25</v>
      </c>
      <c r="J18" s="28">
        <f>AVERAGEIF('Raw Data'!A:A,"Jan",'Raw Data'!H:H)/100</f>
        <v>2.5000000000000001E-2</v>
      </c>
      <c r="K18" s="28">
        <f>AVERAGEIF('[1]Raw Data'!A:A,"Jan",'[1]Raw Data'!I:I)</f>
        <v>0.42</v>
      </c>
    </row>
    <row r="19" spans="6:12" x14ac:dyDescent="0.2">
      <c r="G19" s="29" t="s">
        <v>7</v>
      </c>
      <c r="H19" s="30">
        <f>SUMIF('[1]Raw Data'!A:A,"Feb",'[1]Raw Data'!E:E)</f>
        <v>59</v>
      </c>
      <c r="I19" s="30">
        <f>SUMIF('[1]Raw Data'!A:A,"Feb",'[1]Raw Data'!G:G)</f>
        <v>25</v>
      </c>
      <c r="J19" s="31">
        <f>AVERAGEIF('Raw Data'!A:A,"Feb",'Raw Data'!H:H)/100</f>
        <v>2.5000000000000001E-2</v>
      </c>
      <c r="K19" s="31">
        <f>AVERAGEIF('[1]Raw Data'!A:A,"Feb",'[1]Raw Data'!I:I)</f>
        <v>0.42499999999999999</v>
      </c>
    </row>
    <row r="20" spans="6:12" x14ac:dyDescent="0.2">
      <c r="G20" s="26" t="s">
        <v>12</v>
      </c>
      <c r="H20" s="27">
        <f>SUMIF('[1]Raw Data'!A:A,"Mar",'[1]Raw Data'!E:E)</f>
        <v>59</v>
      </c>
      <c r="I20" s="27">
        <f>SUMIF('[1]Raw Data'!A:A,"Mar",'[1]Raw Data'!G:G)</f>
        <v>25</v>
      </c>
      <c r="J20" s="28">
        <f>AVERAGEIF('Raw Data'!A:A,"Mar",'Raw Data'!H:H)/100</f>
        <v>2.4E-2</v>
      </c>
      <c r="K20" s="28">
        <f>AVERAGEIF('[1]Raw Data'!A:A,"Mar",'[1]Raw Data'!I:I)</f>
        <v>0.43</v>
      </c>
    </row>
    <row r="21" spans="6:12" x14ac:dyDescent="0.2">
      <c r="G21" s="29" t="s">
        <v>13</v>
      </c>
      <c r="H21" s="30">
        <f>SUMIF('[1]Raw Data'!A:A,"Apr",'[1]Raw Data'!E:E)</f>
        <v>63</v>
      </c>
      <c r="I21" s="30">
        <f>SUMIF('[1]Raw Data'!A:A,"Apr",'[1]Raw Data'!G:G)</f>
        <v>25</v>
      </c>
      <c r="J21" s="31">
        <f>AVERAGEIF('Raw Data'!A:A,"Apr",'Raw Data'!H:H)/100</f>
        <v>2.4E-2</v>
      </c>
      <c r="K21" s="31">
        <f>AVERAGEIF('[1]Raw Data'!A:A,"Apr",'[1]Raw Data'!I:I)</f>
        <v>0.435</v>
      </c>
    </row>
    <row r="22" spans="6:12" x14ac:dyDescent="0.2">
      <c r="G22" s="26" t="s">
        <v>8</v>
      </c>
      <c r="H22" s="27">
        <f>SUMIF('[1]Raw Data'!A:A,"May",'[1]Raw Data'!E:E)</f>
        <v>63</v>
      </c>
      <c r="I22" s="27">
        <f>SUMIF('[1]Raw Data'!A:A,"May",'[1]Raw Data'!G:G)</f>
        <v>29</v>
      </c>
      <c r="J22" s="28">
        <f>AVERAGEIF('Raw Data'!A:A,"May",'Raw Data'!H:H)/100</f>
        <v>2.3E-2</v>
      </c>
      <c r="K22" s="28">
        <f>AVERAGEIF('[1]Raw Data'!A:A,"May",'[1]Raw Data'!I:I)</f>
        <v>0.44</v>
      </c>
    </row>
    <row r="23" spans="6:12" x14ac:dyDescent="0.2">
      <c r="G23" s="29" t="s">
        <v>14</v>
      </c>
      <c r="H23" s="30">
        <f>SUMIF('[1]Raw Data'!A:A,"Jun",'[1]Raw Data'!E:E)</f>
        <v>63</v>
      </c>
      <c r="I23" s="30">
        <f>SUMIF('[1]Raw Data'!A:A,"Jun",'[1]Raw Data'!G:G)</f>
        <v>29</v>
      </c>
      <c r="J23" s="31">
        <f>AVERAGEIF('Raw Data'!A:A,"Jun",'Raw Data'!H:H)/100</f>
        <v>2.2000000000000002E-2</v>
      </c>
      <c r="K23" s="31">
        <f>AVERAGEIF('[1]Raw Data'!A:A,"Jun",'[1]Raw Data'!I:I)</f>
        <v>0.44500000000000001</v>
      </c>
    </row>
    <row r="25" spans="6:12" x14ac:dyDescent="0.2">
      <c r="F25" s="24" t="s">
        <v>27</v>
      </c>
      <c r="G25" s="24"/>
      <c r="H25" s="24"/>
      <c r="I25" s="24"/>
      <c r="J25" s="24"/>
      <c r="K25" s="24"/>
      <c r="L25" s="24"/>
    </row>
    <row r="26" spans="6:12" ht="28" x14ac:dyDescent="0.2">
      <c r="F26" s="25" t="s">
        <v>1</v>
      </c>
      <c r="G26" s="25" t="s">
        <v>32</v>
      </c>
      <c r="H26" s="25" t="s">
        <v>31</v>
      </c>
      <c r="I26" s="25" t="s">
        <v>30</v>
      </c>
      <c r="J26" s="25" t="s">
        <v>29</v>
      </c>
      <c r="K26" s="25" t="s">
        <v>5</v>
      </c>
      <c r="L26" s="25" t="s">
        <v>28</v>
      </c>
    </row>
    <row r="27" spans="6:12" x14ac:dyDescent="0.2">
      <c r="F27" s="35" t="s">
        <v>15</v>
      </c>
      <c r="G27" s="34">
        <f>SUMIF('[1]Raw Data'!B:B,"North",'Raw Data'!C:C)</f>
        <v>294000</v>
      </c>
      <c r="H27" s="34">
        <f>SUMIF('[1]Raw Data'!B:B,"North",'Raw Data'!D:D)</f>
        <v>286000</v>
      </c>
      <c r="I27" s="28">
        <f>G27/H27</f>
        <v>1.0279720279720279</v>
      </c>
      <c r="J27" s="27">
        <f>SUMIF('[1]Raw Data'!B:B,"North",'Raw Data'!E:E)</f>
        <v>117</v>
      </c>
      <c r="K27" s="27">
        <f>SUMIF('[1]Raw Data'!B:B,"North",'Raw Data'!G:G)</f>
        <v>267</v>
      </c>
      <c r="L27" s="28">
        <f>AVERAGEIF('Raw Data'!B:B,"North",'Raw Data'!G:G)/100</f>
        <v>0.44500000000000001</v>
      </c>
    </row>
    <row r="28" spans="6:12" x14ac:dyDescent="0.2">
      <c r="F28" s="33" t="s">
        <v>16</v>
      </c>
      <c r="G28" s="32">
        <f>SUMIF('[1]Raw Data'!B:B,"South",'Raw Data'!C:C)</f>
        <v>242000</v>
      </c>
      <c r="H28" s="32">
        <f>SUMIF('[1]Raw Data'!B:B,"South",'Raw Data'!D:D)</f>
        <v>234000</v>
      </c>
      <c r="I28" s="31">
        <f>G28/H28</f>
        <v>1.0341880341880343</v>
      </c>
      <c r="J28" s="30">
        <f>SUMIF('[1]Raw Data'!B:B,"South",'Raw Data'!E:E)</f>
        <v>99</v>
      </c>
      <c r="K28" s="30">
        <f>SUMIF('[1]Raw Data'!B:B,"South",'Raw Data'!G:G)</f>
        <v>255</v>
      </c>
      <c r="L28" s="31">
        <f>AVERAGEIF('Raw Data'!B:B,"South",'Raw Data'!G:G)/100</f>
        <v>0.42499999999999999</v>
      </c>
    </row>
    <row r="29" spans="6:12" x14ac:dyDescent="0.2">
      <c r="F29" s="35" t="s">
        <v>17</v>
      </c>
      <c r="G29" s="34">
        <f>SUMIF('[1]Raw Data'!B:B,"East",'Raw Data'!C:C)</f>
        <v>197000</v>
      </c>
      <c r="H29" s="34">
        <f>SUMIF('[1]Raw Data'!B:B,"East",'Raw Data'!D:D)</f>
        <v>191000</v>
      </c>
      <c r="I29" s="28">
        <f>G29/H29</f>
        <v>1.0314136125654449</v>
      </c>
      <c r="J29" s="27">
        <f>SUMIF('[1]Raw Data'!B:B,"East",'Raw Data'!E:E)</f>
        <v>78</v>
      </c>
      <c r="K29" s="27">
        <f>SUMIF('[1]Raw Data'!B:B,"East",'Raw Data'!G:G)</f>
        <v>243</v>
      </c>
      <c r="L29" s="28">
        <f>AVERAGEIF('Raw Data'!B:B,"East",'Raw Data'!G:G)/100</f>
        <v>0.40500000000000003</v>
      </c>
    </row>
    <row r="30" spans="6:12" x14ac:dyDescent="0.2">
      <c r="F30" s="33" t="s">
        <v>18</v>
      </c>
      <c r="G30" s="32">
        <f>SUMIF('[1]Raw Data'!B:B,"West",'Raw Data'!C:C)</f>
        <v>219000</v>
      </c>
      <c r="H30" s="32">
        <f>SUMIF('[1]Raw Data'!B:B,"West",'Raw Data'!D:D)</f>
        <v>214000</v>
      </c>
      <c r="I30" s="31">
        <f>G30/H30</f>
        <v>1.0233644859813085</v>
      </c>
      <c r="J30" s="30">
        <f>SUMIF('[1]Raw Data'!B:B,"West",'Raw Data'!E:E)</f>
        <v>90</v>
      </c>
      <c r="K30" s="30">
        <f>SUMIF('[1]Raw Data'!B:B,"West",'Raw Data'!G:G)</f>
        <v>259</v>
      </c>
      <c r="L30" s="31">
        <f>AVERAGEIF('Raw Data'!B:B,"West",'Raw Data'!G:G)/100</f>
        <v>0.43166666666666664</v>
      </c>
    </row>
  </sheetData>
  <mergeCells count="13">
    <mergeCell ref="F25:L25"/>
    <mergeCell ref="N5:P7"/>
    <mergeCell ref="A2:Q2"/>
    <mergeCell ref="A1:Q1"/>
    <mergeCell ref="F9:L9"/>
    <mergeCell ref="G16:K16"/>
    <mergeCell ref="B5:D7"/>
    <mergeCell ref="B4:D4"/>
    <mergeCell ref="F4:H4"/>
    <mergeCell ref="F5:H7"/>
    <mergeCell ref="J4:L4"/>
    <mergeCell ref="J5:L7"/>
    <mergeCell ref="N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Bheema Venkata Chakra Sriram Muppanapalli</dc:creator>
  <cp:lastModifiedBy>Bheema Venkata Chakra Sriram Muppanapalli</cp:lastModifiedBy>
  <dcterms:created xsi:type="dcterms:W3CDTF">2026-06-17T16:04:55Z</dcterms:created>
  <dcterms:modified xsi:type="dcterms:W3CDTF">2026-06-18T07:20:50Z</dcterms:modified>
</cp:coreProperties>
</file>