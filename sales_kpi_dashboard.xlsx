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KPI Summary" sheetId="2" state="visible" r:id="rId4"/>
  </sheets>
  <definedNames>
    <definedName function="false" hidden="true" localSheetId="0" name="_xlnm._FilterDatabase" vbProcedure="false">'Raw Data'!$A$1:$I$1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<sst xmlns="http://schemas.openxmlformats.org/spreadsheetml/2006/main" count="162" uniqueCount="46">
  <si>
    <t xml:space="preserve">Month</t>
  </si>
  <si>
    <t xml:space="preserve">Region</t>
  </si>
  <si>
    <t xml:space="preserve">Actual Sales</t>
  </si>
  <si>
    <t xml:space="preserve">Target Sales</t>
  </si>
  <si>
    <t xml:space="preserve">Deals Closed</t>
  </si>
  <si>
    <t xml:space="preserve">Avg Deal Size</t>
  </si>
  <si>
    <t xml:space="preserve">New Customers</t>
  </si>
  <si>
    <t xml:space="preserve">Churn Rate %</t>
  </si>
  <si>
    <t xml:space="preserve">Win Rate %</t>
  </si>
  <si>
    <t xml:space="preserve">Jan</t>
  </si>
  <si>
    <t xml:space="preserve">North</t>
  </si>
  <si>
    <t xml:space="preserve">South</t>
  </si>
  <si>
    <t xml:space="preserve">East</t>
  </si>
  <si>
    <t xml:space="preserve">West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</si>
  <si>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</si>
  <si>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</si>
  <si>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</si>
  <si>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</si>
  <si>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</si>
  <si>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</si>
  <si>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</si>
  <si>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</si>
  <si>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</si>
  <si>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</si>
  <si>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</si>
  <si>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📊  SALES KPI DASHBOARD  |  FY 2024</t>
  </si>
  <si>
    <t xml:space="preserve">Generated: June 17, 2026   |   Period: January – December 2024</t>
  </si>
  <si>
    <t xml:space="preserve">Total Revenue</t>
  </si>
  <si>
    <t xml:space="preserve">Total Deals Closed</t>
  </si>
  <si>
    <t xml:space="preserve">Avg Win Rate</t>
  </si>
  <si>
    <t xml:space="preserve">vs Target</t>
  </si>
  <si>
    <t xml:space="preserve">Deals</t>
  </si>
  <si>
    <t xml:space="preserve">New Accts</t>
  </si>
  <si>
    <t xml:space="preserve">YTD Avg</t>
  </si>
  <si>
    <t xml:space="preserve">Monthly Revenue Trend — Actual vs Target</t>
  </si>
  <si>
    <t xml:space="preserve">Actual</t>
  </si>
  <si>
    <t xml:space="preserve">Target</t>
  </si>
  <si>
    <t xml:space="preserve">Achievement</t>
  </si>
  <si>
    <t xml:space="preserve">Regional Performance</t>
  </si>
  <si>
    <t xml:space="preserve">Monthly Deals &amp; Win Rate</t>
  </si>
  <si>
    <t xml:space="preserve">Actual Revenue</t>
  </si>
  <si>
    <t xml:space="preserve">Target Revenue</t>
  </si>
  <si>
    <t xml:space="preserve">Achievement %</t>
  </si>
  <si>
    <t xml:space="preserve">Win Rate</t>
  </si>
  <si>
    <t xml:space="preserve">New Cust</t>
  </si>
  <si>
    <t xml:space="preserve">Churn 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</si>
</sst>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%"/>
    <numFmt numFmtId="167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sz val="9"/>
      <color rgb="FFBDD7EE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E75B6"/>
        <bgColor rgb="FF4978B1"/>
      </patternFill>
    </fill>
    <fill>
      <patternFill patternType="solid">
        <fgColor rgb="FF1F3864"/>
        <bgColor rgb="FF333300"/>
      </patternFill>
    </fill>
    <fill>
      <patternFill patternType="solid">
        <fgColor rgb="FFF2F2F2"/>
        <bgColor rgb="FFF9F9F9"/>
      </patternFill>
    </fill>
    <fill>
      <patternFill patternType="solid">
        <fgColor rgb="FF70AD47"/>
        <bgColor rgb="FF91AF53"/>
      </patternFill>
    </fill>
    <fill>
      <patternFill patternType="solid">
        <fgColor rgb="FFED7D31"/>
        <bgColor rgb="FFE78C41"/>
      </patternFill>
    </fill>
    <fill>
      <patternFill patternType="solid">
        <fgColor rgb="FFBDD7EE"/>
        <bgColor rgb="FFB5D4E0"/>
      </patternFill>
    </fill>
    <fill>
      <patternFill patternType="solid">
        <fgColor rgb="FFFFFFFF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2E75B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9346"/>
      <rgbColor rgb="FF800080"/>
      <rgbColor rgb="FF70AD47"/>
      <rgbColor rgb="FFBFBFBF"/>
      <rgbColor rgb="FF878787"/>
      <rgbColor rgb="FF7E9BC7"/>
      <rgbColor rgb="FFB34A48"/>
      <rgbColor rgb="FFF9F9F9"/>
      <rgbColor rgb="FFF2F2F2"/>
      <rgbColor rgb="FF660066"/>
      <rgbColor rgb="FFE78C41"/>
      <rgbColor rgb="FF4978B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7CBACF"/>
      <rgbColor rgb="FFD9D9D9"/>
      <rgbColor rgb="FFCCDAB7"/>
      <rgbColor rgb="FFB5C3DB"/>
      <rgbColor rgb="FFB5D4E0"/>
      <rgbColor rgb="FFDDB5B5"/>
      <rgbColor rgb="FFC2BACF"/>
      <rgbColor rgb="FFFACAB4"/>
      <rgbColor rgb="FF2E75B6"/>
      <rgbColor rgb="FF46A1B9"/>
      <rgbColor rgb="FF91AF53"/>
      <rgbColor rgb="FFADC683"/>
      <rgbColor rgb="FFF8AA7A"/>
      <rgbColor rgb="FFED7D31"/>
      <rgbColor rgb="FF775D97"/>
      <rgbColor rgb="FF9A89B2"/>
      <rgbColor rgb="FF1F3864"/>
      <rgbColor rgb="FF3B879C"/>
      <rgbColor rgb="FF003300"/>
      <rgbColor rgb="FF333300"/>
      <rgbColor rgb="FFCA7E7D"/>
      <rgbColor rgb="FFC27637"/>
      <rgbColor rgb="FF654E7F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Revenue: Actual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Summary'!$C$11:$N$11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Summary'!$C$12</c:f>
              <c:numCache>
                <c:formatCode>\$#,##0</c:formatCode>
                <c:ptCount val="1"/>
                <c:pt idx="0">
                  <c:v>136000</c:v>
                </c:pt>
              </c:numCache>
            </c:numRef>
          </c:val>
        </c:ser>
        <c:ser>
          <c:idx val="1"/>
          <c:order val="1"/>
          <c:spPr>
            <a:solidFill>
              <a:srgbClr val="bdd7e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Summary'!$C$11:$N$11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Summary'!$D$12</c:f>
              <c:numCache>
                <c:formatCode>\$#,##0</c:formatCode>
                <c:ptCount val="1"/>
                <c:pt idx="0">
                  <c:v>126000</c:v>
                </c:pt>
              </c:numCache>
            </c:numRef>
          </c:val>
        </c:ser>
        <c:ser>
          <c:idx val="2"/>
          <c:order val="2"/>
          <c:spPr>
            <a:solidFill>
              <a:srgbClr val="7a93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Summary'!$C$11:$N$11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Summary'!$E$12</c:f>
              <c:numCache>
                <c:formatCode>\$#,##0</c:formatCode>
                <c:ptCount val="1"/>
                <c:pt idx="0">
                  <c:v>163000</c:v>
                </c:pt>
              </c:numCache>
            </c:numRef>
          </c:val>
        </c:ser>
        <c:ser>
          <c:idx val="3"/>
          <c:order val="3"/>
          <c:spPr>
            <a:solidFill>
              <a:srgbClr val="654e7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Summary'!$C$11:$N$11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Summary'!$F$12</c:f>
              <c:numCache>
                <c:formatCode>\$#,##0</c:formatCode>
                <c:ptCount val="1"/>
                <c:pt idx="0">
                  <c:v>152000</c:v>
                </c:pt>
              </c:numCache>
            </c:numRef>
          </c:val>
        </c:ser>
        <c:ser>
          <c:idx val="4"/>
          <c:order val="4"/>
          <c:spPr>
            <a:solidFill>
              <a:srgbClr val="3b879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Summary'!$C$11:$N$11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Summary'!$G$12</c:f>
              <c:numCache>
                <c:formatCode>\$#,##0</c:formatCode>
                <c:ptCount val="1"/>
                <c:pt idx="0">
                  <c:v>176000</c:v>
                </c:pt>
              </c:numCache>
            </c:numRef>
          </c:val>
        </c:ser>
        <c:ser>
          <c:idx val="5"/>
          <c:order val="5"/>
          <c:spPr>
            <a:solidFill>
              <a:srgbClr val="c2763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Summary'!$C$11:$N$11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Summary'!$H$12</c:f>
              <c:numCache>
                <c:formatCode>\$#,##0</c:formatCode>
                <c:ptCount val="1"/>
                <c:pt idx="0">
                  <c:v>199000</c:v>
                </c:pt>
              </c:numCache>
            </c:numRef>
          </c:val>
        </c:ser>
        <c:ser>
          <c:idx val="6"/>
          <c:order val="6"/>
          <c:spPr>
            <a:solidFill>
              <a:srgbClr val="4978b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Summary'!$C$11:$N$11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Summary'!$I$12</c:f>
              <c:numCache>
                <c:formatCode>\$#,##0</c:formatCode>
                <c:ptCount val="1"/>
                <c:pt idx="0">
                  <c:v>187000</c:v>
                </c:pt>
              </c:numCache>
            </c:numRef>
          </c:val>
        </c:ser>
        <c:ser>
          <c:idx val="7"/>
          <c:order val="7"/>
          <c:spPr>
            <a:solidFill>
              <a:srgbClr val="b34a4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Summary'!$C$11:$N$11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Summary'!$J$12</c:f>
              <c:numCache>
                <c:formatCode>\$#,##0</c:formatCode>
                <c:ptCount val="1"/>
                <c:pt idx="0">
                  <c:v>209000</c:v>
                </c:pt>
              </c:numCache>
            </c:numRef>
          </c:val>
        </c:ser>
        <c:ser>
          <c:idx val="8"/>
          <c:order val="8"/>
          <c:spPr>
            <a:solidFill>
              <a:srgbClr val="91af5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Summary'!$C$11:$N$11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Summary'!$K$12</c:f>
              <c:numCache>
                <c:formatCode>\$#,##0</c:formatCode>
                <c:ptCount val="1"/>
                <c:pt idx="0">
                  <c:v>234000</c:v>
                </c:pt>
              </c:numCache>
            </c:numRef>
          </c:val>
        </c:ser>
        <c:ser>
          <c:idx val="9"/>
          <c:order val="9"/>
          <c:spPr>
            <a:solidFill>
              <a:srgbClr val="775d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Summary'!$C$11:$N$11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Summary'!$L$12</c:f>
              <c:numCache>
                <c:formatCode>\$#,##0</c:formatCode>
                <c:ptCount val="1"/>
                <c:pt idx="0">
                  <c:v>223000</c:v>
                </c:pt>
              </c:numCache>
            </c:numRef>
          </c:val>
        </c:ser>
        <c:ser>
          <c:idx val="10"/>
          <c:order val="10"/>
          <c:spPr>
            <a:solidFill>
              <a:srgbClr val="46a1b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Summary'!$C$11:$N$11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Summary'!$M$12</c:f>
              <c:numCache>
                <c:formatCode>\$#,##0</c:formatCode>
                <c:ptCount val="1"/>
                <c:pt idx="0">
                  <c:v>246000</c:v>
                </c:pt>
              </c:numCache>
            </c:numRef>
          </c:val>
        </c:ser>
        <c:ser>
          <c:idx val="11"/>
          <c:order val="11"/>
          <c:spPr>
            <a:solidFill>
              <a:srgbClr val="e78c4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Summary'!$C$11:$N$11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Summary'!$N$12</c:f>
              <c:numCache>
                <c:formatCode>\$#,##0</c:formatCode>
                <c:ptCount val="1"/>
                <c:pt idx="0">
                  <c:v>272000</c:v>
                </c:pt>
              </c:numCache>
            </c:numRef>
          </c:val>
        </c:ser>
        <c:ser>
          <c:idx val="12"/>
          <c:order val="12"/>
          <c:spPr>
            <a:solidFill>
              <a:srgbClr val="7e9bc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Summary'!$C$11:$N$11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Summary'!$C$13</c:f>
              <c:numCache>
                <c:formatCode>\$#,##0</c:formatCode>
                <c:ptCount val="1"/>
                <c:pt idx="0">
                  <c:v>130000</c:v>
                </c:pt>
              </c:numCache>
            </c:numRef>
          </c:val>
        </c:ser>
        <c:ser>
          <c:idx val="13"/>
          <c:order val="13"/>
          <c:spPr>
            <a:solidFill>
              <a:srgbClr val="ca7e7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Summary'!$C$11:$N$11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Summary'!$D$13</c:f>
              <c:numCache>
                <c:formatCode>\$#,##0</c:formatCode>
                <c:ptCount val="1"/>
                <c:pt idx="0">
                  <c:v>130000</c:v>
                </c:pt>
              </c:numCache>
            </c:numRef>
          </c:val>
        </c:ser>
        <c:ser>
          <c:idx val="14"/>
          <c:order val="14"/>
          <c:spPr>
            <a:solidFill>
              <a:srgbClr val="adc68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Summary'!$C$11:$N$11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Summary'!$E$13</c:f>
              <c:numCache>
                <c:formatCode>\$#,##0</c:formatCode>
                <c:ptCount val="1"/>
                <c:pt idx="0">
                  <c:v>154000</c:v>
                </c:pt>
              </c:numCache>
            </c:numRef>
          </c:val>
        </c:ser>
        <c:ser>
          <c:idx val="15"/>
          <c:order val="15"/>
          <c:spPr>
            <a:solidFill>
              <a:srgbClr val="9a89b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Summary'!$C$11:$N$11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Summary'!$F$13</c:f>
              <c:numCache>
                <c:formatCode>\$#,##0</c:formatCode>
                <c:ptCount val="1"/>
                <c:pt idx="0">
                  <c:v>154000</c:v>
                </c:pt>
              </c:numCache>
            </c:numRef>
          </c:val>
        </c:ser>
        <c:ser>
          <c:idx val="16"/>
          <c:order val="16"/>
          <c:spPr>
            <a:solidFill>
              <a:srgbClr val="7cbac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Summary'!$C$11:$N$11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Summary'!$G$13</c:f>
              <c:numCache>
                <c:formatCode>\$#,##0</c:formatCode>
                <c:ptCount val="1"/>
                <c:pt idx="0">
                  <c:v>167000</c:v>
                </c:pt>
              </c:numCache>
            </c:numRef>
          </c:val>
        </c:ser>
        <c:ser>
          <c:idx val="17"/>
          <c:order val="17"/>
          <c:spPr>
            <a:solidFill>
              <a:srgbClr val="f8aa7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Summary'!$C$11:$N$11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Summary'!$H$13</c:f>
              <c:numCache>
                <c:formatCode>\$#,##0</c:formatCode>
                <c:ptCount val="1"/>
                <c:pt idx="0">
                  <c:v>190000</c:v>
                </c:pt>
              </c:numCache>
            </c:numRef>
          </c:val>
        </c:ser>
        <c:ser>
          <c:idx val="18"/>
          <c:order val="18"/>
          <c:spPr>
            <a:solidFill>
              <a:srgbClr val="b5c3d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Summary'!$C$11:$N$11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Summary'!$I$13</c:f>
              <c:numCache>
                <c:formatCode>\$#,##0</c:formatCode>
                <c:ptCount val="1"/>
                <c:pt idx="0">
                  <c:v>179000</c:v>
                </c:pt>
              </c:numCache>
            </c:numRef>
          </c:val>
        </c:ser>
        <c:ser>
          <c:idx val="19"/>
          <c:order val="19"/>
          <c:spPr>
            <a:solidFill>
              <a:srgbClr val="ddb5b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Summary'!$C$11:$N$11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Summary'!$J$13</c:f>
              <c:numCache>
                <c:formatCode>\$#,##0</c:formatCode>
                <c:ptCount val="1"/>
                <c:pt idx="0">
                  <c:v>200000</c:v>
                </c:pt>
              </c:numCache>
            </c:numRef>
          </c:val>
        </c:ser>
        <c:ser>
          <c:idx val="20"/>
          <c:order val="20"/>
          <c:spPr>
            <a:solidFill>
              <a:srgbClr val="ccdab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Summary'!$C$11:$N$11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Summary'!$K$13</c:f>
              <c:numCache>
                <c:formatCode>\$#,##0</c:formatCode>
                <c:ptCount val="1"/>
                <c:pt idx="0">
                  <c:v>226000</c:v>
                </c:pt>
              </c:numCache>
            </c:numRef>
          </c:val>
        </c:ser>
        <c:ser>
          <c:idx val="21"/>
          <c:order val="21"/>
          <c:spPr>
            <a:solidFill>
              <a:srgbClr val="c2bac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Summary'!$C$11:$N$11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Summary'!$L$13</c:f>
              <c:numCache>
                <c:formatCode>\$#,##0</c:formatCode>
                <c:ptCount val="1"/>
                <c:pt idx="0">
                  <c:v>215000</c:v>
                </c:pt>
              </c:numCache>
            </c:numRef>
          </c:val>
        </c:ser>
        <c:ser>
          <c:idx val="22"/>
          <c:order val="22"/>
          <c:spPr>
            <a:solidFill>
              <a:srgbClr val="b5d4e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Summary'!$C$11:$N$11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Summary'!$M$13</c:f>
              <c:numCache>
                <c:formatCode>\$#,##0</c:formatCode>
                <c:ptCount val="1"/>
                <c:pt idx="0">
                  <c:v>238000</c:v>
                </c:pt>
              </c:numCache>
            </c:numRef>
          </c:val>
        </c:ser>
        <c:ser>
          <c:idx val="23"/>
          <c:order val="23"/>
          <c:spPr>
            <a:solidFill>
              <a:srgbClr val="facab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Summary'!$C$11:$N$11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Summary'!$N$13</c:f>
              <c:numCache>
                <c:formatCode>\$#,##0</c:formatCode>
                <c:ptCount val="1"/>
                <c:pt idx="0">
                  <c:v>264000</c:v>
                </c:pt>
              </c:numCache>
            </c:numRef>
          </c:val>
        </c:ser>
        <c:gapWidth val="150"/>
        <c:overlap val="0"/>
        <c:axId val="65530479"/>
        <c:axId val="19440498"/>
      </c:barChart>
      <c:catAx>
        <c:axId val="655304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440498"/>
        <c:crosses val="autoZero"/>
        <c:auto val="1"/>
        <c:lblAlgn val="ctr"/>
        <c:lblOffset val="100"/>
        <c:noMultiLvlLbl val="0"/>
      </c:catAx>
      <c:valAx>
        <c:axId val="194404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5304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Win Rate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70ad47"/>
            </a:solidFill>
            <a:ln w="248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Summary'!$J$18:$J$29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Summary'!$N$18:$N$29</c:f>
              <c:numCache>
                <c:formatCode>0.0%</c:formatCode>
                <c:ptCount val="12"/>
                <c:pt idx="0">
                  <c:v>0.42</c:v>
                </c:pt>
                <c:pt idx="1">
                  <c:v>0.425</c:v>
                </c:pt>
                <c:pt idx="2">
                  <c:v>0.43</c:v>
                </c:pt>
                <c:pt idx="3">
                  <c:v>0.435</c:v>
                </c:pt>
                <c:pt idx="4">
                  <c:v>0.44</c:v>
                </c:pt>
                <c:pt idx="5">
                  <c:v>0.445</c:v>
                </c:pt>
                <c:pt idx="6">
                  <c:v>0.45</c:v>
                </c:pt>
                <c:pt idx="7">
                  <c:v>0.455</c:v>
                </c:pt>
                <c:pt idx="8">
                  <c:v>0.46</c:v>
                </c:pt>
                <c:pt idx="9">
                  <c:v>0.465</c:v>
                </c:pt>
                <c:pt idx="10">
                  <c:v>0.47</c:v>
                </c:pt>
                <c:pt idx="11">
                  <c:v>0.475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8271034"/>
        <c:axId val="82233998"/>
      </c:lineChart>
      <c:catAx>
        <c:axId val="582710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233998"/>
        <c:crosses val="autoZero"/>
        <c:auto val="1"/>
        <c:lblAlgn val="ctr"/>
        <c:lblOffset val="100"/>
        <c:noMultiLvlLbl val="0"/>
      </c:catAx>
      <c:valAx>
        <c:axId val="822339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Win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710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78120</xdr:rowOff>
    </xdr:from>
    <xdr:to>
      <xdr:col>9</xdr:col>
      <xdr:colOff>166320</xdr:colOff>
      <xdr:row>53</xdr:row>
      <xdr:rowOff>185760</xdr:rowOff>
    </xdr:to>
    <xdr:graphicFrame>
      <xdr:nvGraphicFramePr>
        <xdr:cNvPr id="0" name="Chart 1"/>
        <xdr:cNvGraphicFramePr/>
      </xdr:nvGraphicFramePr>
      <xdr:xfrm>
        <a:off x="141120" y="784872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29</xdr:row>
      <xdr:rowOff>78120</xdr:rowOff>
    </xdr:from>
    <xdr:to>
      <xdr:col>14</xdr:col>
      <xdr:colOff>465840</xdr:colOff>
      <xdr:row>53</xdr:row>
      <xdr:rowOff>185760</xdr:rowOff>
    </xdr:to>
    <xdr:graphicFrame>
      <xdr:nvGraphicFramePr>
        <xdr:cNvPr id="1" name="Chart 2"/>
        <xdr:cNvGraphicFramePr/>
      </xdr:nvGraphicFramePr>
      <xdr:xfrm>
        <a:off x="7894440" y="7848720"/>
        <a:ext cx="53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4" min="3" style="0" width="15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3" t="n">
        <v>42000</v>
      </c>
      <c r="D2" s="3" t="n">
        <v>40000</v>
      </c>
      <c r="E2" s="2" t="n">
        <v>18</v>
      </c>
      <c r="F2" s="3" t="n">
        <v>2333.33333333333</v>
      </c>
      <c r="G2" s="2" t="n">
        <v>8</v>
      </c>
      <c r="H2" s="4" t="n">
        <v>0.025</v>
      </c>
      <c r="I2" s="4" t="n">
        <v>0.42</v>
      </c>
    </row>
    <row r="3" customFormat="false" ht="15" hidden="false" customHeight="false" outlineLevel="0" collapsed="false">
      <c r="A3" s="2" t="s">
        <v>9</v>
      </c>
      <c r="B3" s="2" t="s">
        <v>11</v>
      </c>
      <c r="C3" s="3" t="n">
        <v>35000</v>
      </c>
      <c r="D3" s="3" t="n">
        <v>33000</v>
      </c>
      <c r="E3" s="2" t="n">
        <v>15</v>
      </c>
      <c r="F3" s="3" t="n">
        <v>2333.33333333333</v>
      </c>
      <c r="G3" s="2" t="n">
        <v>6</v>
      </c>
      <c r="H3" s="4" t="n">
        <v>0.025</v>
      </c>
      <c r="I3" s="4" t="n">
        <v>0.42</v>
      </c>
    </row>
    <row r="4" customFormat="false" ht="15" hidden="false" customHeight="false" outlineLevel="0" collapsed="false">
      <c r="A4" s="2" t="s">
        <v>9</v>
      </c>
      <c r="B4" s="2" t="s">
        <v>12</v>
      </c>
      <c r="C4" s="3" t="n">
        <v>28000</v>
      </c>
      <c r="D4" s="3" t="n">
        <v>27000</v>
      </c>
      <c r="E4" s="2" t="n">
        <v>12</v>
      </c>
      <c r="F4" s="3" t="n">
        <v>2333.33333333333</v>
      </c>
      <c r="G4" s="2" t="n">
        <v>5</v>
      </c>
      <c r="H4" s="4" t="n">
        <v>0.025</v>
      </c>
      <c r="I4" s="4" t="n">
        <v>0.42</v>
      </c>
    </row>
    <row r="5" customFormat="false" ht="15" hidden="false" customHeight="false" outlineLevel="0" collapsed="false">
      <c r="A5" s="2" t="s">
        <v>9</v>
      </c>
      <c r="B5" s="2" t="s">
        <v>13</v>
      </c>
      <c r="C5" s="3" t="n">
        <v>31000</v>
      </c>
      <c r="D5" s="3" t="n">
        <v>30000</v>
      </c>
      <c r="E5" s="2" t="n">
        <v>14</v>
      </c>
      <c r="F5" s="3" t="n">
        <v>2214.28571428571</v>
      </c>
      <c r="G5" s="2" t="n">
        <v>6</v>
      </c>
      <c r="H5" s="4" t="n">
        <v>0.025</v>
      </c>
      <c r="I5" s="4" t="n">
        <v>0.42</v>
      </c>
    </row>
    <row r="6" customFormat="false" ht="15" hidden="false" customHeight="false" outlineLevel="0" collapsed="false">
      <c r="A6" s="2" t="s">
        <v>14</v>
      </c>
      <c r="B6" s="2" t="s">
        <v>10</v>
      </c>
      <c r="C6" s="3" t="n">
        <v>38000</v>
      </c>
      <c r="D6" s="3" t="n">
        <v>40000</v>
      </c>
      <c r="E6" s="2" t="n">
        <v>18</v>
      </c>
      <c r="F6" s="3" t="n">
        <v>2111.11111111111</v>
      </c>
      <c r="G6" s="2" t="n">
        <v>8</v>
      </c>
      <c r="H6" s="4" t="n">
        <v>0.025</v>
      </c>
      <c r="I6" s="4" t="n">
        <v>0.425</v>
      </c>
    </row>
    <row r="7" customFormat="false" ht="15" hidden="false" customHeight="false" outlineLevel="0" collapsed="false">
      <c r="A7" s="2" t="s">
        <v>14</v>
      </c>
      <c r="B7" s="2" t="s">
        <v>11</v>
      </c>
      <c r="C7" s="3" t="n">
        <v>33000</v>
      </c>
      <c r="D7" s="3" t="n">
        <v>33000</v>
      </c>
      <c r="E7" s="2" t="n">
        <v>15</v>
      </c>
      <c r="F7" s="3" t="n">
        <v>2200</v>
      </c>
      <c r="G7" s="2" t="n">
        <v>6</v>
      </c>
      <c r="H7" s="4" t="n">
        <v>0.025</v>
      </c>
      <c r="I7" s="4" t="n">
        <v>0.425</v>
      </c>
    </row>
    <row r="8" customFormat="false" ht="15" hidden="false" customHeight="false" outlineLevel="0" collapsed="false">
      <c r="A8" s="2" t="s">
        <v>14</v>
      </c>
      <c r="B8" s="2" t="s">
        <v>12</v>
      </c>
      <c r="C8" s="3" t="n">
        <v>26000</v>
      </c>
      <c r="D8" s="3" t="n">
        <v>27000</v>
      </c>
      <c r="E8" s="2" t="n">
        <v>12</v>
      </c>
      <c r="F8" s="3" t="n">
        <v>2166.66666666667</v>
      </c>
      <c r="G8" s="2" t="n">
        <v>5</v>
      </c>
      <c r="H8" s="4" t="n">
        <v>0.025</v>
      </c>
      <c r="I8" s="4" t="n">
        <v>0.425</v>
      </c>
    </row>
    <row r="9" customFormat="false" ht="15" hidden="false" customHeight="false" outlineLevel="0" collapsed="false">
      <c r="A9" s="2" t="s">
        <v>14</v>
      </c>
      <c r="B9" s="2" t="s">
        <v>13</v>
      </c>
      <c r="C9" s="3" t="n">
        <v>29000</v>
      </c>
      <c r="D9" s="3" t="n">
        <v>30000</v>
      </c>
      <c r="E9" s="2" t="n">
        <v>14</v>
      </c>
      <c r="F9" s="3" t="n">
        <v>2071.42857142857</v>
      </c>
      <c r="G9" s="2" t="n">
        <v>6</v>
      </c>
      <c r="H9" s="4" t="n">
        <v>0.025</v>
      </c>
      <c r="I9" s="4" t="n">
        <v>0.425</v>
      </c>
    </row>
    <row r="10" customFormat="false" ht="15" hidden="false" customHeight="false" outlineLevel="0" collapsed="false">
      <c r="A10" s="2" t="s">
        <v>15</v>
      </c>
      <c r="B10" s="2" t="s">
        <v>10</v>
      </c>
      <c r="C10" s="3" t="n">
        <v>51000</v>
      </c>
      <c r="D10" s="3" t="n">
        <v>48000</v>
      </c>
      <c r="E10" s="2" t="n">
        <v>18</v>
      </c>
      <c r="F10" s="3" t="n">
        <v>2833.33333333333</v>
      </c>
      <c r="G10" s="2" t="n">
        <v>8</v>
      </c>
      <c r="H10" s="4" t="n">
        <v>0.024</v>
      </c>
      <c r="I10" s="4" t="n">
        <v>0.43</v>
      </c>
    </row>
    <row r="11" customFormat="false" ht="15" hidden="false" customHeight="false" outlineLevel="0" collapsed="false">
      <c r="A11" s="2" t="s">
        <v>15</v>
      </c>
      <c r="B11" s="2" t="s">
        <v>11</v>
      </c>
      <c r="C11" s="3" t="n">
        <v>41000</v>
      </c>
      <c r="D11" s="3" t="n">
        <v>39000</v>
      </c>
      <c r="E11" s="2" t="n">
        <v>15</v>
      </c>
      <c r="F11" s="3" t="n">
        <v>2733.33333333333</v>
      </c>
      <c r="G11" s="2" t="n">
        <v>6</v>
      </c>
      <c r="H11" s="4" t="n">
        <v>0.024</v>
      </c>
      <c r="I11" s="4" t="n">
        <v>0.43</v>
      </c>
    </row>
    <row r="12" customFormat="false" ht="15" hidden="false" customHeight="false" outlineLevel="0" collapsed="false">
      <c r="A12" s="2" t="s">
        <v>15</v>
      </c>
      <c r="B12" s="2" t="s">
        <v>12</v>
      </c>
      <c r="C12" s="3" t="n">
        <v>33000</v>
      </c>
      <c r="D12" s="3" t="n">
        <v>31000</v>
      </c>
      <c r="E12" s="2" t="n">
        <v>12</v>
      </c>
      <c r="F12" s="3" t="n">
        <v>2750</v>
      </c>
      <c r="G12" s="2" t="n">
        <v>5</v>
      </c>
      <c r="H12" s="4" t="n">
        <v>0.024</v>
      </c>
      <c r="I12" s="4" t="n">
        <v>0.43</v>
      </c>
    </row>
    <row r="13" customFormat="false" ht="15" hidden="false" customHeight="false" outlineLevel="0" collapsed="false">
      <c r="A13" s="2" t="s">
        <v>15</v>
      </c>
      <c r="B13" s="2" t="s">
        <v>13</v>
      </c>
      <c r="C13" s="3" t="n">
        <v>38000</v>
      </c>
      <c r="D13" s="3" t="n">
        <v>36000</v>
      </c>
      <c r="E13" s="2" t="n">
        <v>14</v>
      </c>
      <c r="F13" s="3" t="n">
        <v>2714.28571428571</v>
      </c>
      <c r="G13" s="2" t="n">
        <v>6</v>
      </c>
      <c r="H13" s="4" t="n">
        <v>0.024</v>
      </c>
      <c r="I13" s="4" t="n">
        <v>0.43</v>
      </c>
    </row>
    <row r="14" customFormat="false" ht="15" hidden="false" customHeight="false" outlineLevel="0" collapsed="false">
      <c r="A14" s="2" t="s">
        <v>16</v>
      </c>
      <c r="B14" s="2" t="s">
        <v>10</v>
      </c>
      <c r="C14" s="3" t="n">
        <v>47000</v>
      </c>
      <c r="D14" s="3" t="n">
        <v>48000</v>
      </c>
      <c r="E14" s="2" t="n">
        <v>19</v>
      </c>
      <c r="F14" s="3" t="n">
        <v>2473.68421052632</v>
      </c>
      <c r="G14" s="2" t="n">
        <v>8</v>
      </c>
      <c r="H14" s="4" t="n">
        <v>0.024</v>
      </c>
      <c r="I14" s="4" t="n">
        <v>0.435</v>
      </c>
    </row>
    <row r="15" customFormat="false" ht="15" hidden="false" customHeight="false" outlineLevel="0" collapsed="false">
      <c r="A15" s="2" t="s">
        <v>16</v>
      </c>
      <c r="B15" s="2" t="s">
        <v>11</v>
      </c>
      <c r="C15" s="3" t="n">
        <v>39000</v>
      </c>
      <c r="D15" s="3" t="n">
        <v>39000</v>
      </c>
      <c r="E15" s="2" t="n">
        <v>16</v>
      </c>
      <c r="F15" s="3" t="n">
        <v>2437.5</v>
      </c>
      <c r="G15" s="2" t="n">
        <v>6</v>
      </c>
      <c r="H15" s="4" t="n">
        <v>0.024</v>
      </c>
      <c r="I15" s="4" t="n">
        <v>0.435</v>
      </c>
    </row>
    <row r="16" customFormat="false" ht="15" hidden="false" customHeight="false" outlineLevel="0" collapsed="false">
      <c r="A16" s="2" t="s">
        <v>16</v>
      </c>
      <c r="B16" s="2" t="s">
        <v>12</v>
      </c>
      <c r="C16" s="3" t="n">
        <v>31000</v>
      </c>
      <c r="D16" s="3" t="n">
        <v>31000</v>
      </c>
      <c r="E16" s="2" t="n">
        <v>13</v>
      </c>
      <c r="F16" s="3" t="n">
        <v>2384.61538461539</v>
      </c>
      <c r="G16" s="2" t="n">
        <v>5</v>
      </c>
      <c r="H16" s="4" t="n">
        <v>0.024</v>
      </c>
      <c r="I16" s="4" t="n">
        <v>0.435</v>
      </c>
    </row>
    <row r="17" customFormat="false" ht="15" hidden="false" customHeight="false" outlineLevel="0" collapsed="false">
      <c r="A17" s="2" t="s">
        <v>16</v>
      </c>
      <c r="B17" s="2" t="s">
        <v>13</v>
      </c>
      <c r="C17" s="3" t="n">
        <v>35000</v>
      </c>
      <c r="D17" s="3" t="n">
        <v>36000</v>
      </c>
      <c r="E17" s="2" t="n">
        <v>15</v>
      </c>
      <c r="F17" s="3" t="n">
        <v>2333.33333333333</v>
      </c>
      <c r="G17" s="2" t="n">
        <v>6</v>
      </c>
      <c r="H17" s="4" t="n">
        <v>0.024</v>
      </c>
      <c r="I17" s="4" t="n">
        <v>0.435</v>
      </c>
    </row>
    <row r="18" customFormat="false" ht="15" hidden="false" customHeight="false" outlineLevel="0" collapsed="false">
      <c r="A18" s="2" t="s">
        <v>17</v>
      </c>
      <c r="B18" s="2" t="s">
        <v>10</v>
      </c>
      <c r="C18" s="3" t="n">
        <v>55000</v>
      </c>
      <c r="D18" s="3" t="n">
        <v>52000</v>
      </c>
      <c r="E18" s="2" t="n">
        <v>19</v>
      </c>
      <c r="F18" s="3" t="n">
        <v>2894.73684210526</v>
      </c>
      <c r="G18" s="2" t="n">
        <v>9</v>
      </c>
      <c r="H18" s="4" t="n">
        <v>0.023</v>
      </c>
      <c r="I18" s="4" t="n">
        <v>0.44</v>
      </c>
    </row>
    <row r="19" customFormat="false" ht="15" hidden="false" customHeight="false" outlineLevel="0" collapsed="false">
      <c r="A19" s="2" t="s">
        <v>17</v>
      </c>
      <c r="B19" s="2" t="s">
        <v>11</v>
      </c>
      <c r="C19" s="3" t="n">
        <v>44000</v>
      </c>
      <c r="D19" s="3" t="n">
        <v>42000</v>
      </c>
      <c r="E19" s="2" t="n">
        <v>16</v>
      </c>
      <c r="F19" s="3" t="n">
        <v>2750</v>
      </c>
      <c r="G19" s="2" t="n">
        <v>7</v>
      </c>
      <c r="H19" s="4" t="n">
        <v>0.023</v>
      </c>
      <c r="I19" s="4" t="n">
        <v>0.44</v>
      </c>
    </row>
    <row r="20" customFormat="false" ht="15" hidden="false" customHeight="false" outlineLevel="0" collapsed="false">
      <c r="A20" s="2" t="s">
        <v>17</v>
      </c>
      <c r="B20" s="2" t="s">
        <v>12</v>
      </c>
      <c r="C20" s="3" t="n">
        <v>37000</v>
      </c>
      <c r="D20" s="3" t="n">
        <v>35000</v>
      </c>
      <c r="E20" s="2" t="n">
        <v>13</v>
      </c>
      <c r="F20" s="3" t="n">
        <v>2846.15384615385</v>
      </c>
      <c r="G20" s="2" t="n">
        <v>6</v>
      </c>
      <c r="H20" s="4" t="n">
        <v>0.023</v>
      </c>
      <c r="I20" s="4" t="n">
        <v>0.44</v>
      </c>
    </row>
    <row r="21" customFormat="false" ht="15" hidden="false" customHeight="false" outlineLevel="0" collapsed="false">
      <c r="A21" s="2" t="s">
        <v>17</v>
      </c>
      <c r="B21" s="2" t="s">
        <v>13</v>
      </c>
      <c r="C21" s="3" t="n">
        <v>40000</v>
      </c>
      <c r="D21" s="3" t="n">
        <v>38000</v>
      </c>
      <c r="E21" s="2" t="n">
        <v>15</v>
      </c>
      <c r="F21" s="3" t="n">
        <v>2666.66666666667</v>
      </c>
      <c r="G21" s="2" t="n">
        <v>7</v>
      </c>
      <c r="H21" s="4" t="n">
        <v>0.023</v>
      </c>
      <c r="I21" s="4" t="n">
        <v>0.44</v>
      </c>
    </row>
    <row r="22" customFormat="false" ht="15" hidden="false" customHeight="false" outlineLevel="0" collapsed="false">
      <c r="A22" s="2" t="s">
        <v>18</v>
      </c>
      <c r="B22" s="2" t="s">
        <v>10</v>
      </c>
      <c r="C22" s="3" t="n">
        <v>61000</v>
      </c>
      <c r="D22" s="3" t="n">
        <v>58000</v>
      </c>
      <c r="E22" s="2" t="n">
        <v>19</v>
      </c>
      <c r="F22" s="3" t="n">
        <v>3210.52631578947</v>
      </c>
      <c r="G22" s="2" t="n">
        <v>9</v>
      </c>
      <c r="H22" s="4" t="n">
        <v>0.022</v>
      </c>
      <c r="I22" s="4" t="n">
        <v>0.445</v>
      </c>
    </row>
    <row r="23" customFormat="false" ht="15" hidden="false" customHeight="false" outlineLevel="0" collapsed="false">
      <c r="A23" s="2" t="s">
        <v>18</v>
      </c>
      <c r="B23" s="2" t="s">
        <v>11</v>
      </c>
      <c r="C23" s="3" t="n">
        <v>50000</v>
      </c>
      <c r="D23" s="3" t="n">
        <v>48000</v>
      </c>
      <c r="E23" s="2" t="n">
        <v>16</v>
      </c>
      <c r="F23" s="3" t="n">
        <v>3125</v>
      </c>
      <c r="G23" s="2" t="n">
        <v>7</v>
      </c>
      <c r="H23" s="4" t="n">
        <v>0.022</v>
      </c>
      <c r="I23" s="4" t="n">
        <v>0.445</v>
      </c>
    </row>
    <row r="24" customFormat="false" ht="15" hidden="false" customHeight="false" outlineLevel="0" collapsed="false">
      <c r="A24" s="2" t="s">
        <v>18</v>
      </c>
      <c r="B24" s="2" t="s">
        <v>12</v>
      </c>
      <c r="C24" s="3" t="n">
        <v>42000</v>
      </c>
      <c r="D24" s="3" t="n">
        <v>40000</v>
      </c>
      <c r="E24" s="2" t="n">
        <v>13</v>
      </c>
      <c r="F24" s="3" t="n">
        <v>3230.76923076923</v>
      </c>
      <c r="G24" s="2" t="n">
        <v>6</v>
      </c>
      <c r="H24" s="4" t="n">
        <v>0.022</v>
      </c>
      <c r="I24" s="4" t="n">
        <v>0.445</v>
      </c>
    </row>
    <row r="25" customFormat="false" ht="15" hidden="false" customHeight="false" outlineLevel="0" collapsed="false">
      <c r="A25" s="2" t="s">
        <v>18</v>
      </c>
      <c r="B25" s="2" t="s">
        <v>13</v>
      </c>
      <c r="C25" s="3" t="n">
        <v>46000</v>
      </c>
      <c r="D25" s="3" t="n">
        <v>44000</v>
      </c>
      <c r="E25" s="2" t="n">
        <v>15</v>
      </c>
      <c r="F25" s="3" t="n">
        <v>3066.66666666667</v>
      </c>
      <c r="G25" s="2" t="n">
        <v>7</v>
      </c>
      <c r="H25" s="4" t="n">
        <v>0.022</v>
      </c>
      <c r="I25" s="4" t="n">
        <v>0.445</v>
      </c>
    </row>
    <row r="26" customFormat="false" ht="15" hidden="false" customHeight="false" outlineLevel="0" collapsed="false">
      <c r="A26" s="2" t="s">
        <v>19</v>
      </c>
      <c r="B26" s="2" t="s">
        <v>10</v>
      </c>
      <c r="C26" s="3" t="n">
        <v>58000</v>
      </c>
      <c r="D26" s="3" t="n">
        <v>56000</v>
      </c>
      <c r="E26" s="2" t="n">
        <v>20</v>
      </c>
      <c r="F26" s="3" t="n">
        <v>2900</v>
      </c>
      <c r="G26" s="2" t="n">
        <v>9</v>
      </c>
      <c r="H26" s="4" t="n">
        <v>0.022</v>
      </c>
      <c r="I26" s="4" t="n">
        <v>0.45</v>
      </c>
    </row>
    <row r="27" customFormat="false" ht="15" hidden="false" customHeight="false" outlineLevel="0" collapsed="false">
      <c r="A27" s="2" t="s">
        <v>19</v>
      </c>
      <c r="B27" s="2" t="s">
        <v>11</v>
      </c>
      <c r="C27" s="3" t="n">
        <v>47000</v>
      </c>
      <c r="D27" s="3" t="n">
        <v>45000</v>
      </c>
      <c r="E27" s="2" t="n">
        <v>17</v>
      </c>
      <c r="F27" s="3" t="n">
        <v>2764.70588235294</v>
      </c>
      <c r="G27" s="2" t="n">
        <v>7</v>
      </c>
      <c r="H27" s="4" t="n">
        <v>0.022</v>
      </c>
      <c r="I27" s="4" t="n">
        <v>0.45</v>
      </c>
    </row>
    <row r="28" customFormat="false" ht="15" hidden="false" customHeight="false" outlineLevel="0" collapsed="false">
      <c r="A28" s="2" t="s">
        <v>19</v>
      </c>
      <c r="B28" s="2" t="s">
        <v>12</v>
      </c>
      <c r="C28" s="3" t="n">
        <v>39000</v>
      </c>
      <c r="D28" s="3" t="n">
        <v>37000</v>
      </c>
      <c r="E28" s="2" t="n">
        <v>14</v>
      </c>
      <c r="F28" s="3" t="n">
        <v>2785.71428571429</v>
      </c>
      <c r="G28" s="2" t="n">
        <v>6</v>
      </c>
      <c r="H28" s="4" t="n">
        <v>0.022</v>
      </c>
      <c r="I28" s="4" t="n">
        <v>0.45</v>
      </c>
    </row>
    <row r="29" customFormat="false" ht="15" hidden="false" customHeight="false" outlineLevel="0" collapsed="false">
      <c r="A29" s="2" t="s">
        <v>19</v>
      </c>
      <c r="B29" s="2" t="s">
        <v>13</v>
      </c>
      <c r="C29" s="3" t="n">
        <v>43000</v>
      </c>
      <c r="D29" s="3" t="n">
        <v>41000</v>
      </c>
      <c r="E29" s="2" t="n">
        <v>16</v>
      </c>
      <c r="F29" s="3" t="n">
        <v>2687.5</v>
      </c>
      <c r="G29" s="2" t="n">
        <v>7</v>
      </c>
      <c r="H29" s="4" t="n">
        <v>0.022</v>
      </c>
      <c r="I29" s="4" t="n">
        <v>0.45</v>
      </c>
    </row>
    <row r="30" customFormat="false" ht="15" hidden="false" customHeight="false" outlineLevel="0" collapsed="false">
      <c r="A30" s="2" t="s">
        <v>20</v>
      </c>
      <c r="B30" s="2" t="s">
        <v>10</v>
      </c>
      <c r="C30" s="3" t="n">
        <v>63000</v>
      </c>
      <c r="D30" s="3" t="n">
        <v>60000</v>
      </c>
      <c r="E30" s="2" t="n">
        <v>20</v>
      </c>
      <c r="F30" s="3" t="n">
        <v>3150</v>
      </c>
      <c r="G30" s="2" t="n">
        <v>9</v>
      </c>
      <c r="H30" s="4" t="n">
        <v>0.021</v>
      </c>
      <c r="I30" s="4" t="n">
        <v>0.455</v>
      </c>
    </row>
    <row r="31" customFormat="false" ht="15" hidden="false" customHeight="false" outlineLevel="0" collapsed="false">
      <c r="A31" s="2" t="s">
        <v>20</v>
      </c>
      <c r="B31" s="2" t="s">
        <v>11</v>
      </c>
      <c r="C31" s="3" t="n">
        <v>53000</v>
      </c>
      <c r="D31" s="3" t="n">
        <v>51000</v>
      </c>
      <c r="E31" s="2" t="n">
        <v>17</v>
      </c>
      <c r="F31" s="3" t="n">
        <v>3117.64705882353</v>
      </c>
      <c r="G31" s="2" t="n">
        <v>7</v>
      </c>
      <c r="H31" s="4" t="n">
        <v>0.021</v>
      </c>
      <c r="I31" s="4" t="n">
        <v>0.455</v>
      </c>
    </row>
    <row r="32" customFormat="false" ht="15" hidden="false" customHeight="false" outlineLevel="0" collapsed="false">
      <c r="A32" s="2" t="s">
        <v>20</v>
      </c>
      <c r="B32" s="2" t="s">
        <v>12</v>
      </c>
      <c r="C32" s="3" t="n">
        <v>44000</v>
      </c>
      <c r="D32" s="3" t="n">
        <v>42000</v>
      </c>
      <c r="E32" s="2" t="n">
        <v>14</v>
      </c>
      <c r="F32" s="3" t="n">
        <v>3142.85714285714</v>
      </c>
      <c r="G32" s="2" t="n">
        <v>6</v>
      </c>
      <c r="H32" s="4" t="n">
        <v>0.021</v>
      </c>
      <c r="I32" s="4" t="n">
        <v>0.455</v>
      </c>
    </row>
    <row r="33" customFormat="false" ht="15" hidden="false" customHeight="false" outlineLevel="0" collapsed="false">
      <c r="A33" s="2" t="s">
        <v>20</v>
      </c>
      <c r="B33" s="2" t="s">
        <v>13</v>
      </c>
      <c r="C33" s="3" t="n">
        <v>49000</v>
      </c>
      <c r="D33" s="3" t="n">
        <v>47000</v>
      </c>
      <c r="E33" s="2" t="n">
        <v>16</v>
      </c>
      <c r="F33" s="3" t="n">
        <v>3062.5</v>
      </c>
      <c r="G33" s="2" t="n">
        <v>7</v>
      </c>
      <c r="H33" s="4" t="n">
        <v>0.021</v>
      </c>
      <c r="I33" s="4" t="n">
        <v>0.455</v>
      </c>
    </row>
    <row r="34" customFormat="false" ht="15" hidden="false" customHeight="false" outlineLevel="0" collapsed="false">
      <c r="A34" s="2" t="s">
        <v>21</v>
      </c>
      <c r="B34" s="2" t="s">
        <v>10</v>
      </c>
      <c r="C34" s="3" t="n">
        <v>70000</v>
      </c>
      <c r="D34" s="3" t="n">
        <v>68000</v>
      </c>
      <c r="E34" s="2" t="n">
        <v>20</v>
      </c>
      <c r="F34" s="3" t="n">
        <v>3500</v>
      </c>
      <c r="G34" s="2" t="n">
        <v>10</v>
      </c>
      <c r="H34" s="4" t="n">
        <v>0.021</v>
      </c>
      <c r="I34" s="4" t="n">
        <v>0.46</v>
      </c>
    </row>
    <row r="35" customFormat="false" ht="15" hidden="false" customHeight="false" outlineLevel="0" collapsed="false">
      <c r="A35" s="2" t="s">
        <v>21</v>
      </c>
      <c r="B35" s="2" t="s">
        <v>11</v>
      </c>
      <c r="C35" s="3" t="n">
        <v>59000</v>
      </c>
      <c r="D35" s="3" t="n">
        <v>57000</v>
      </c>
      <c r="E35" s="2" t="n">
        <v>17</v>
      </c>
      <c r="F35" s="3" t="n">
        <v>3470.58823529412</v>
      </c>
      <c r="G35" s="2" t="n">
        <v>8</v>
      </c>
      <c r="H35" s="4" t="n">
        <v>0.021</v>
      </c>
      <c r="I35" s="4" t="n">
        <v>0.46</v>
      </c>
    </row>
    <row r="36" customFormat="false" ht="15" hidden="false" customHeight="false" outlineLevel="0" collapsed="false">
      <c r="A36" s="2" t="s">
        <v>21</v>
      </c>
      <c r="B36" s="2" t="s">
        <v>12</v>
      </c>
      <c r="C36" s="3" t="n">
        <v>50000</v>
      </c>
      <c r="D36" s="3" t="n">
        <v>48000</v>
      </c>
      <c r="E36" s="2" t="n">
        <v>14</v>
      </c>
      <c r="F36" s="3" t="n">
        <v>3571.42857142857</v>
      </c>
      <c r="G36" s="2" t="n">
        <v>7</v>
      </c>
      <c r="H36" s="4" t="n">
        <v>0.021</v>
      </c>
      <c r="I36" s="4" t="n">
        <v>0.46</v>
      </c>
    </row>
    <row r="37" customFormat="false" ht="15" hidden="false" customHeight="false" outlineLevel="0" collapsed="false">
      <c r="A37" s="2" t="s">
        <v>21</v>
      </c>
      <c r="B37" s="2" t="s">
        <v>13</v>
      </c>
      <c r="C37" s="3" t="n">
        <v>55000</v>
      </c>
      <c r="D37" s="3" t="n">
        <v>53000</v>
      </c>
      <c r="E37" s="2" t="n">
        <v>16</v>
      </c>
      <c r="F37" s="3" t="n">
        <v>3437.5</v>
      </c>
      <c r="G37" s="2" t="n">
        <v>8</v>
      </c>
      <c r="H37" s="4" t="n">
        <v>0.021</v>
      </c>
      <c r="I37" s="4" t="n">
        <v>0.46</v>
      </c>
    </row>
    <row r="38" customFormat="false" ht="15" hidden="false" customHeight="false" outlineLevel="0" collapsed="false">
      <c r="A38" s="2" t="s">
        <v>22</v>
      </c>
      <c r="B38" s="2" t="s">
        <v>10</v>
      </c>
      <c r="C38" s="3" t="n">
        <v>67000</v>
      </c>
      <c r="D38" s="3" t="n">
        <v>65000</v>
      </c>
      <c r="E38" s="2" t="n">
        <v>21</v>
      </c>
      <c r="F38" s="3" t="n">
        <v>3190.47619047619</v>
      </c>
      <c r="G38" s="2" t="n">
        <v>10</v>
      </c>
      <c r="H38" s="4" t="n">
        <v>0.02</v>
      </c>
      <c r="I38" s="4" t="n">
        <v>0.465</v>
      </c>
    </row>
    <row r="39" customFormat="false" ht="15" hidden="false" customHeight="false" outlineLevel="0" collapsed="false">
      <c r="A39" s="2" t="s">
        <v>22</v>
      </c>
      <c r="B39" s="2" t="s">
        <v>11</v>
      </c>
      <c r="C39" s="3" t="n">
        <v>56000</v>
      </c>
      <c r="D39" s="3" t="n">
        <v>54000</v>
      </c>
      <c r="E39" s="2" t="n">
        <v>18</v>
      </c>
      <c r="F39" s="3" t="n">
        <v>3111.11111111111</v>
      </c>
      <c r="G39" s="2" t="n">
        <v>8</v>
      </c>
      <c r="H39" s="4" t="n">
        <v>0.02</v>
      </c>
      <c r="I39" s="4" t="n">
        <v>0.465</v>
      </c>
    </row>
    <row r="40" customFormat="false" ht="15" hidden="false" customHeight="false" outlineLevel="0" collapsed="false">
      <c r="A40" s="2" t="s">
        <v>22</v>
      </c>
      <c r="B40" s="2" t="s">
        <v>12</v>
      </c>
      <c r="C40" s="3" t="n">
        <v>48000</v>
      </c>
      <c r="D40" s="3" t="n">
        <v>46000</v>
      </c>
      <c r="E40" s="2" t="n">
        <v>15</v>
      </c>
      <c r="F40" s="3" t="n">
        <v>3200</v>
      </c>
      <c r="G40" s="2" t="n">
        <v>7</v>
      </c>
      <c r="H40" s="4" t="n">
        <v>0.02</v>
      </c>
      <c r="I40" s="4" t="n">
        <v>0.465</v>
      </c>
    </row>
    <row r="41" customFormat="false" ht="15" hidden="false" customHeight="false" outlineLevel="0" collapsed="false">
      <c r="A41" s="2" t="s">
        <v>22</v>
      </c>
      <c r="B41" s="2" t="s">
        <v>13</v>
      </c>
      <c r="C41" s="3" t="n">
        <v>52000</v>
      </c>
      <c r="D41" s="3" t="n">
        <v>50000</v>
      </c>
      <c r="E41" s="2" t="n">
        <v>17</v>
      </c>
      <c r="F41" s="3" t="n">
        <v>3058.82352941177</v>
      </c>
      <c r="G41" s="2" t="n">
        <v>8</v>
      </c>
      <c r="H41" s="4" t="n">
        <v>0.02</v>
      </c>
      <c r="I41" s="4" t="n">
        <v>0.465</v>
      </c>
    </row>
    <row r="42" customFormat="false" ht="15" hidden="false" customHeight="false" outlineLevel="0" collapsed="false">
      <c r="A42" s="2" t="s">
        <v>23</v>
      </c>
      <c r="B42" s="2" t="s">
        <v>10</v>
      </c>
      <c r="C42" s="3" t="n">
        <v>72000</v>
      </c>
      <c r="D42" s="3" t="n">
        <v>70000</v>
      </c>
      <c r="E42" s="2" t="n">
        <v>21</v>
      </c>
      <c r="F42" s="3" t="n">
        <v>3428.57142857143</v>
      </c>
      <c r="G42" s="2" t="n">
        <v>10</v>
      </c>
      <c r="H42" s="4" t="n">
        <v>0.02</v>
      </c>
      <c r="I42" s="4" t="n">
        <v>0.47</v>
      </c>
    </row>
    <row r="43" customFormat="false" ht="15" hidden="false" customHeight="false" outlineLevel="0" collapsed="false">
      <c r="A43" s="2" t="s">
        <v>23</v>
      </c>
      <c r="B43" s="2" t="s">
        <v>11</v>
      </c>
      <c r="C43" s="3" t="n">
        <v>62000</v>
      </c>
      <c r="D43" s="3" t="n">
        <v>60000</v>
      </c>
      <c r="E43" s="2" t="n">
        <v>18</v>
      </c>
      <c r="F43" s="3" t="n">
        <v>3444.44444444444</v>
      </c>
      <c r="G43" s="2" t="n">
        <v>8</v>
      </c>
      <c r="H43" s="4" t="n">
        <v>0.02</v>
      </c>
      <c r="I43" s="4" t="n">
        <v>0.47</v>
      </c>
    </row>
    <row r="44" customFormat="false" ht="15" hidden="false" customHeight="false" outlineLevel="0" collapsed="false">
      <c r="A44" s="2" t="s">
        <v>23</v>
      </c>
      <c r="B44" s="2" t="s">
        <v>12</v>
      </c>
      <c r="C44" s="3" t="n">
        <v>54000</v>
      </c>
      <c r="D44" s="3" t="n">
        <v>52000</v>
      </c>
      <c r="E44" s="2" t="n">
        <v>15</v>
      </c>
      <c r="F44" s="3" t="n">
        <v>3600</v>
      </c>
      <c r="G44" s="2" t="n">
        <v>7</v>
      </c>
      <c r="H44" s="4" t="n">
        <v>0.02</v>
      </c>
      <c r="I44" s="4" t="n">
        <v>0.47</v>
      </c>
    </row>
    <row r="45" customFormat="false" ht="15" hidden="false" customHeight="false" outlineLevel="0" collapsed="false">
      <c r="A45" s="2" t="s">
        <v>23</v>
      </c>
      <c r="B45" s="2" t="s">
        <v>13</v>
      </c>
      <c r="C45" s="3" t="n">
        <v>58000</v>
      </c>
      <c r="D45" s="3" t="n">
        <v>56000</v>
      </c>
      <c r="E45" s="2" t="n">
        <v>17</v>
      </c>
      <c r="F45" s="3" t="n">
        <v>3411.76470588235</v>
      </c>
      <c r="G45" s="2" t="n">
        <v>8</v>
      </c>
      <c r="H45" s="4" t="n">
        <v>0.02</v>
      </c>
      <c r="I45" s="4" t="n">
        <v>0.47</v>
      </c>
    </row>
    <row r="46" customFormat="false" ht="15" hidden="false" customHeight="false" outlineLevel="0" collapsed="false">
      <c r="A46" s="2" t="s">
        <v>24</v>
      </c>
      <c r="B46" s="2" t="s">
        <v>10</v>
      </c>
      <c r="C46" s="3" t="n">
        <v>80000</v>
      </c>
      <c r="D46" s="3" t="n">
        <v>78000</v>
      </c>
      <c r="E46" s="2" t="n">
        <v>21</v>
      </c>
      <c r="F46" s="3" t="n">
        <v>3809.52380952381</v>
      </c>
      <c r="G46" s="2" t="n">
        <v>10</v>
      </c>
      <c r="H46" s="4" t="n">
        <v>0.019</v>
      </c>
      <c r="I46" s="4" t="n">
        <v>0.475</v>
      </c>
    </row>
    <row r="47" customFormat="false" ht="15" hidden="false" customHeight="false" outlineLevel="0" collapsed="false">
      <c r="A47" s="2" t="s">
        <v>24</v>
      </c>
      <c r="B47" s="2" t="s">
        <v>11</v>
      </c>
      <c r="C47" s="3" t="n">
        <v>68000</v>
      </c>
      <c r="D47" s="3" t="n">
        <v>66000</v>
      </c>
      <c r="E47" s="2" t="n">
        <v>18</v>
      </c>
      <c r="F47" s="3" t="n">
        <v>3777.77777777778</v>
      </c>
      <c r="G47" s="2" t="n">
        <v>8</v>
      </c>
      <c r="H47" s="4" t="n">
        <v>0.019</v>
      </c>
      <c r="I47" s="4" t="n">
        <v>0.475</v>
      </c>
    </row>
    <row r="48" customFormat="false" ht="15" hidden="false" customHeight="false" outlineLevel="0" collapsed="false">
      <c r="A48" s="2" t="s">
        <v>24</v>
      </c>
      <c r="B48" s="2" t="s">
        <v>12</v>
      </c>
      <c r="C48" s="3" t="n">
        <v>59000</v>
      </c>
      <c r="D48" s="3" t="n">
        <v>57000</v>
      </c>
      <c r="E48" s="2" t="n">
        <v>15</v>
      </c>
      <c r="F48" s="3" t="n">
        <v>3933.33333333333</v>
      </c>
      <c r="G48" s="2" t="n">
        <v>7</v>
      </c>
      <c r="H48" s="4" t="n">
        <v>0.019</v>
      </c>
      <c r="I48" s="4" t="n">
        <v>0.475</v>
      </c>
    </row>
    <row r="49" customFormat="false" ht="15" hidden="false" customHeight="false" outlineLevel="0" collapsed="false">
      <c r="A49" s="2" t="s">
        <v>24</v>
      </c>
      <c r="B49" s="2" t="s">
        <v>13</v>
      </c>
      <c r="C49" s="3" t="n">
        <v>65000</v>
      </c>
      <c r="D49" s="3" t="n">
        <v>63000</v>
      </c>
      <c r="E49" s="2" t="n">
        <v>17</v>
      </c>
      <c r="F49" s="3" t="n">
        <v>3823.52941176471</v>
      </c>
      <c r="G49" s="2" t="n">
        <v>8</v>
      </c>
      <c r="H49" s="4" t="n">
        <v>0.019</v>
      </c>
      <c r="I49" s="4" t="n">
        <v>0.475</v>
      </c>
    </row>
  </sheetData>
  <autoFilter ref="A1:I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N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14" min="3" style="0" width="14"/>
  </cols>
  <sheetData>
    <row r="1" customFormat="false" ht="45" hidden="false" customHeight="true" outlineLevel="0" collapsed="false">
      <c r="A1" s="5" t="s">
        <v>25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customFormat="false" ht="19.5" hidden="false" customHeight="true" outlineLevel="0" collapsed="false">
      <c r="A2" s="6" t="s">
        <v>26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customFormat="false" ht="15" hidden="false" customHeight="true" outlineLevel="0" collapsed="false">
      <c r="B4" s="7"/>
      <c r="C4" s="7"/>
      <c r="D4" s="7"/>
      <c r="E4" s="8"/>
      <c r="F4" s="8"/>
      <c r="G4" s="8"/>
      <c r="H4" s="9"/>
      <c r="I4" s="9"/>
      <c r="J4" s="9"/>
      <c r="K4" s="10"/>
      <c r="L4" s="10"/>
      <c r="M4" s="10"/>
    </row>
    <row r="5" customFormat="false" ht="27.75" hidden="false" customHeight="true" outlineLevel="0" collapsed="false">
      <c r="B5" s="11" t="s">
        <v>27</v>
      </c>
      <c r="C5" s="11"/>
      <c r="D5" s="11"/>
      <c r="E5" s="12" t="s">
        <v>28</v>
      </c>
      <c r="F5" s="12"/>
      <c r="G5" s="12"/>
      <c r="H5" s="13" t="s">
        <v>6</v>
      </c>
      <c r="I5" s="13"/>
      <c r="J5" s="13"/>
      <c r="K5" s="14" t="s">
        <v>29</v>
      </c>
      <c r="L5" s="14"/>
      <c r="M5" s="14"/>
    </row>
    <row r="6" customFormat="false" ht="39.75" hidden="false" customHeight="true" outlineLevel="0" collapsed="false">
      <c r="B6" s="15" t="n">
        <f aca="false">SUMIF('Raw Data'!A:A,"Jan",'Raw Data'!C:C)+SUMIF('Raw Data'!A:A,"Feb",'Raw Data'!C:C)+SUMIF('Raw Data'!A:A,"Mar",'Raw Data'!C:C)+SUMIF('Raw Data'!A:A,"Apr",'Raw Data'!C:C)+SUMIF('Raw Data'!A:A,"May",'Raw Data'!C:C)+SUMIF('Raw Data'!A:A,"Jun",'Raw Data'!C:C)+SUMIF('Raw Data'!A:A,"Jul",'Raw Data'!C:C)+SUMIF('Raw Data'!A:A,"Aug",'Raw Data'!C:C)+SUMIF('Raw Data'!A:A,"Sep",'Raw Data'!C:C)+SUMIF('Raw Data'!A:A,"Oct",'Raw Data'!C:C)+SUMIF('Raw Data'!A:A,"Nov",'Raw Data'!C:C)+SUMIF('Raw Data'!A:A,"Dec",'Raw Data'!C:C)</f>
        <v>2323000</v>
      </c>
      <c r="C6" s="15"/>
      <c r="D6" s="15"/>
      <c r="E6" s="16" t="n">
        <f aca="false">SUM('Raw Data'!E:E)</f>
        <v>780</v>
      </c>
      <c r="F6" s="16"/>
      <c r="G6" s="16"/>
      <c r="H6" s="17" t="n">
        <f aca="false">SUM('Raw Data'!G:G)</f>
        <v>348</v>
      </c>
      <c r="I6" s="17"/>
      <c r="J6" s="17"/>
      <c r="K6" s="18" t="n">
        <f aca="false">AVERAGE('Raw Data'!I2:I49)</f>
        <v>0.4475</v>
      </c>
      <c r="L6" s="18"/>
      <c r="M6" s="18"/>
    </row>
    <row r="7" customFormat="false" ht="27.75" hidden="false" customHeight="true" outlineLevel="0" collapsed="false">
      <c r="B7" s="19" t="s">
        <v>30</v>
      </c>
      <c r="C7" s="19"/>
      <c r="D7" s="19"/>
      <c r="E7" s="20" t="s">
        <v>31</v>
      </c>
      <c r="F7" s="20"/>
      <c r="G7" s="20"/>
      <c r="H7" s="21" t="s">
        <v>32</v>
      </c>
      <c r="I7" s="21"/>
      <c r="J7" s="21"/>
      <c r="K7" s="22" t="s">
        <v>33</v>
      </c>
      <c r="L7" s="22"/>
      <c r="M7" s="22"/>
    </row>
    <row r="8" customFormat="false" ht="15" hidden="false" customHeight="true" outlineLevel="0" collapsed="false">
      <c r="B8" s="7"/>
      <c r="C8" s="7"/>
      <c r="D8" s="7"/>
      <c r="E8" s="8"/>
      <c r="F8" s="8"/>
      <c r="G8" s="8"/>
      <c r="H8" s="9"/>
      <c r="I8" s="9"/>
      <c r="J8" s="9"/>
      <c r="K8" s="10"/>
      <c r="L8" s="10"/>
      <c r="M8" s="10"/>
    </row>
    <row r="10" customFormat="false" ht="19.5" hidden="false" customHeight="true" outlineLevel="0" collapsed="false">
      <c r="B10" s="23" t="s">
        <v>34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</row>
    <row r="11" customFormat="false" ht="15" hidden="false" customHeight="false" outlineLevel="0" collapsed="false">
      <c r="B11" s="24" t="s">
        <v>0</v>
      </c>
      <c r="C11" s="24" t="s">
        <v>9</v>
      </c>
      <c r="D11" s="24" t="s">
        <v>14</v>
      </c>
      <c r="E11" s="24" t="s">
        <v>15</v>
      </c>
      <c r="F11" s="24" t="s">
        <v>16</v>
      </c>
      <c r="G11" s="24" t="s">
        <v>17</v>
      </c>
      <c r="H11" s="24" t="s">
        <v>18</v>
      </c>
      <c r="I11" s="24" t="s">
        <v>19</v>
      </c>
      <c r="J11" s="24" t="s">
        <v>20</v>
      </c>
      <c r="K11" s="24" t="s">
        <v>21</v>
      </c>
      <c r="L11" s="24" t="s">
        <v>22</v>
      </c>
      <c r="M11" s="24" t="s">
        <v>23</v>
      </c>
      <c r="N11" s="24" t="s">
        <v>24</v>
      </c>
    </row>
    <row r="12" customFormat="false" ht="21.75" hidden="false" customHeight="true" outlineLevel="0" collapsed="false">
      <c r="B12" s="25" t="s">
        <v>35</v>
      </c>
      <c r="C12" s="26" t="n">
        <f aca="false">SUMIF('Raw Data'!A:A,"Jan",'Raw Data'!C:C)</f>
        <v>136000</v>
      </c>
      <c r="D12" s="26" t="n">
        <f aca="false">SUMIF('Raw Data'!A:A,"Feb",'Raw Data'!C:C)</f>
        <v>126000</v>
      </c>
      <c r="E12" s="26" t="n">
        <f aca="false">SUMIF('Raw Data'!A:A,"Mar",'Raw Data'!C:C)</f>
        <v>163000</v>
      </c>
      <c r="F12" s="26" t="n">
        <f aca="false">SUMIF('Raw Data'!A:A,"Apr",'Raw Data'!C:C)</f>
        <v>152000</v>
      </c>
      <c r="G12" s="26" t="n">
        <f aca="false">SUMIF('Raw Data'!A:A,"May",'Raw Data'!C:C)</f>
        <v>176000</v>
      </c>
      <c r="H12" s="26" t="n">
        <f aca="false">SUMIF('Raw Data'!A:A,"Jun",'Raw Data'!C:C)</f>
        <v>199000</v>
      </c>
      <c r="I12" s="26" t="n">
        <f aca="false">SUMIF('Raw Data'!A:A,"Jul",'Raw Data'!C:C)</f>
        <v>187000</v>
      </c>
      <c r="J12" s="26" t="n">
        <f aca="false">SUMIF('Raw Data'!A:A,"Aug",'Raw Data'!C:C)</f>
        <v>209000</v>
      </c>
      <c r="K12" s="26" t="n">
        <f aca="false">SUMIF('Raw Data'!A:A,"Sep",'Raw Data'!C:C)</f>
        <v>234000</v>
      </c>
      <c r="L12" s="26" t="n">
        <f aca="false">SUMIF('Raw Data'!A:A,"Oct",'Raw Data'!C:C)</f>
        <v>223000</v>
      </c>
      <c r="M12" s="26" t="n">
        <f aca="false">SUMIF('Raw Data'!A:A,"Nov",'Raw Data'!C:C)</f>
        <v>246000</v>
      </c>
      <c r="N12" s="26" t="n">
        <f aca="false">SUMIF('Raw Data'!A:A,"Dec",'Raw Data'!C:C)</f>
        <v>272000</v>
      </c>
    </row>
    <row r="13" customFormat="false" ht="21.75" hidden="false" customHeight="true" outlineLevel="0" collapsed="false">
      <c r="B13" s="27" t="s">
        <v>36</v>
      </c>
      <c r="C13" s="28" t="n">
        <f aca="false">SUMIF('Raw Data'!A:A,"Jan",'Raw Data'!D:D)</f>
        <v>130000</v>
      </c>
      <c r="D13" s="28" t="n">
        <f aca="false">SUMIF('Raw Data'!A:A,"Feb",'Raw Data'!D:D)</f>
        <v>130000</v>
      </c>
      <c r="E13" s="28" t="n">
        <f aca="false">SUMIF('Raw Data'!A:A,"Mar",'Raw Data'!D:D)</f>
        <v>154000</v>
      </c>
      <c r="F13" s="28" t="n">
        <f aca="false">SUMIF('Raw Data'!A:A,"Apr",'Raw Data'!D:D)</f>
        <v>154000</v>
      </c>
      <c r="G13" s="28" t="n">
        <f aca="false">SUMIF('Raw Data'!A:A,"May",'Raw Data'!D:D)</f>
        <v>167000</v>
      </c>
      <c r="H13" s="28" t="n">
        <f aca="false">SUMIF('Raw Data'!A:A,"Jun",'Raw Data'!D:D)</f>
        <v>190000</v>
      </c>
      <c r="I13" s="28" t="n">
        <f aca="false">SUMIF('Raw Data'!A:A,"Jul",'Raw Data'!D:D)</f>
        <v>179000</v>
      </c>
      <c r="J13" s="28" t="n">
        <f aca="false">SUMIF('Raw Data'!A:A,"Aug",'Raw Data'!D:D)</f>
        <v>200000</v>
      </c>
      <c r="K13" s="28" t="n">
        <f aca="false">SUMIF('Raw Data'!A:A,"Sep",'Raw Data'!D:D)</f>
        <v>226000</v>
      </c>
      <c r="L13" s="28" t="n">
        <f aca="false">SUMIF('Raw Data'!A:A,"Oct",'Raw Data'!D:D)</f>
        <v>215000</v>
      </c>
      <c r="M13" s="28" t="n">
        <f aca="false">SUMIF('Raw Data'!A:A,"Nov",'Raw Data'!D:D)</f>
        <v>238000</v>
      </c>
      <c r="N13" s="28" t="n">
        <f aca="false">SUMIF('Raw Data'!A:A,"Dec",'Raw Data'!D:D)</f>
        <v>264000</v>
      </c>
    </row>
    <row r="14" customFormat="false" ht="21.75" hidden="false" customHeight="true" outlineLevel="0" collapsed="false">
      <c r="B14" s="29" t="s">
        <v>37</v>
      </c>
      <c r="C14" s="30" t="n">
        <f aca="false">C12/C13</f>
        <v>1.04615384615385</v>
      </c>
      <c r="D14" s="30" t="n">
        <f aca="false">D12/D13</f>
        <v>0.969230769230769</v>
      </c>
      <c r="E14" s="30" t="n">
        <f aca="false">E12/E13</f>
        <v>1.05844155844156</v>
      </c>
      <c r="F14" s="30" t="n">
        <f aca="false">F12/F13</f>
        <v>0.987012987012987</v>
      </c>
      <c r="G14" s="30" t="n">
        <f aca="false">G12/G13</f>
        <v>1.05389221556886</v>
      </c>
      <c r="H14" s="30" t="n">
        <f aca="false">H12/H13</f>
        <v>1.04736842105263</v>
      </c>
      <c r="I14" s="30" t="n">
        <f aca="false">I12/I13</f>
        <v>1.04469273743017</v>
      </c>
      <c r="J14" s="30" t="n">
        <f aca="false">J12/J13</f>
        <v>1.045</v>
      </c>
      <c r="K14" s="30" t="n">
        <f aca="false">K12/K13</f>
        <v>1.0353982300885</v>
      </c>
      <c r="L14" s="30" t="n">
        <f aca="false">L12/L13</f>
        <v>1.03720930232558</v>
      </c>
      <c r="M14" s="30" t="n">
        <f aca="false">M12/M13</f>
        <v>1.03361344537815</v>
      </c>
      <c r="N14" s="30" t="n">
        <f aca="false">N12/N13</f>
        <v>1.03030303030303</v>
      </c>
    </row>
    <row r="16" customFormat="false" ht="19.5" hidden="false" customHeight="true" outlineLevel="0" collapsed="false">
      <c r="B16" s="23" t="s">
        <v>38</v>
      </c>
      <c r="C16" s="23"/>
      <c r="D16" s="23"/>
      <c r="E16" s="23"/>
      <c r="F16" s="23"/>
      <c r="G16" s="23"/>
      <c r="H16" s="23"/>
      <c r="J16" s="23" t="s">
        <v>39</v>
      </c>
      <c r="K16" s="23"/>
      <c r="L16" s="23"/>
      <c r="M16" s="23"/>
      <c r="N16" s="23"/>
    </row>
    <row r="17" customFormat="false" ht="23.85" hidden="false" customHeight="false" outlineLevel="0" collapsed="false">
      <c r="B17" s="24" t="s">
        <v>1</v>
      </c>
      <c r="C17" s="24" t="s">
        <v>40</v>
      </c>
      <c r="D17" s="24" t="s">
        <v>41</v>
      </c>
      <c r="E17" s="24" t="s">
        <v>42</v>
      </c>
      <c r="F17" s="24" t="s">
        <v>31</v>
      </c>
      <c r="G17" s="24" t="s">
        <v>6</v>
      </c>
      <c r="H17" s="24" t="s">
        <v>43</v>
      </c>
      <c r="J17" s="24" t="s">
        <v>0</v>
      </c>
      <c r="K17" s="24" t="s">
        <v>31</v>
      </c>
      <c r="L17" s="24" t="s">
        <v>44</v>
      </c>
      <c r="M17" s="24" t="s">
        <v>45</v>
      </c>
      <c r="N17" s="24" t="s">
        <v>43</v>
      </c>
    </row>
    <row r="18" customFormat="false" ht="19.5" hidden="false" customHeight="true" outlineLevel="0" collapsed="false">
      <c r="B18" s="31" t="s">
        <v>10</v>
      </c>
      <c r="C18" s="28" t="n">
        <f aca="false">SUMIF('Raw Data'!B:B,"North",'Raw Data'!C:C)</f>
        <v>704000</v>
      </c>
      <c r="D18" s="28" t="n">
        <f aca="false">SUMIF('Raw Data'!B:B,"North",'Raw Data'!D:D)</f>
        <v>683000</v>
      </c>
      <c r="E18" s="32" t="n">
        <f aca="false">C18/D18</f>
        <v>1.0307467057101</v>
      </c>
      <c r="F18" s="33" t="n">
        <f aca="false">SUMIF('Raw Data'!B:B,"North",'Raw Data'!E:E)</f>
        <v>234</v>
      </c>
      <c r="G18" s="33" t="n">
        <f aca="false">SUMIF('Raw Data'!B:B,"North",'Raw Data'!G:G)</f>
        <v>108</v>
      </c>
      <c r="H18" s="32" t="n">
        <f aca="false">AVERAGEIF('Raw Data'!B:B,"North",'Raw Data'!I:I)</f>
        <v>0.4475</v>
      </c>
      <c r="J18" s="34" t="s">
        <v>9</v>
      </c>
      <c r="K18" s="33" t="n">
        <f aca="false">SUMIF('Raw Data'!A:A,"Jan",'Raw Data'!E:E)</f>
        <v>59</v>
      </c>
      <c r="L18" s="33" t="n">
        <f aca="false">SUMIF('Raw Data'!A:A,"Jan",'Raw Data'!G:G)</f>
        <v>25</v>
      </c>
      <c r="M18" s="32" t="n">
        <f aca="false">AVERAGEIF('Raw Data'!A:A,"Jan",'Raw Data'!H:H)</f>
        <v>0.025</v>
      </c>
      <c r="N18" s="32" t="n">
        <f aca="false">AVERAGEIF('Raw Data'!A:A,"Jan",'Raw Data'!I:I)</f>
        <v>0.42</v>
      </c>
    </row>
    <row r="19" customFormat="false" ht="19.5" hidden="false" customHeight="true" outlineLevel="0" collapsed="false">
      <c r="B19" s="35" t="s">
        <v>11</v>
      </c>
      <c r="C19" s="26" t="n">
        <f aca="false">SUMIF('Raw Data'!B:B,"South",'Raw Data'!C:C)</f>
        <v>587000</v>
      </c>
      <c r="D19" s="26" t="n">
        <f aca="false">SUMIF('Raw Data'!B:B,"South",'Raw Data'!D:D)</f>
        <v>567000</v>
      </c>
      <c r="E19" s="36" t="n">
        <f aca="false">C19/D19</f>
        <v>1.0352733686067</v>
      </c>
      <c r="F19" s="37" t="n">
        <f aca="false">SUMIF('Raw Data'!B:B,"South",'Raw Data'!E:E)</f>
        <v>198</v>
      </c>
      <c r="G19" s="37" t="n">
        <f aca="false">SUMIF('Raw Data'!B:B,"South",'Raw Data'!G:G)</f>
        <v>84</v>
      </c>
      <c r="H19" s="36" t="n">
        <f aca="false">AVERAGEIF('Raw Data'!B:B,"South",'Raw Data'!I:I)</f>
        <v>0.4475</v>
      </c>
      <c r="J19" s="38" t="s">
        <v>14</v>
      </c>
      <c r="K19" s="37" t="n">
        <f aca="false">SUMIF('Raw Data'!A:A,"Feb",'Raw Data'!E:E)</f>
        <v>59</v>
      </c>
      <c r="L19" s="37" t="n">
        <f aca="false">SUMIF('Raw Data'!A:A,"Feb",'Raw Data'!G:G)</f>
        <v>25</v>
      </c>
      <c r="M19" s="36" t="n">
        <f aca="false">AVERAGEIF('Raw Data'!A:A,"Feb",'Raw Data'!H:H)</f>
        <v>0.025</v>
      </c>
      <c r="N19" s="36" t="n">
        <f aca="false">AVERAGEIF('Raw Data'!A:A,"Feb",'Raw Data'!I:I)</f>
        <v>0.425</v>
      </c>
    </row>
    <row r="20" customFormat="false" ht="19.5" hidden="false" customHeight="true" outlineLevel="0" collapsed="false">
      <c r="B20" s="31" t="s">
        <v>12</v>
      </c>
      <c r="C20" s="28" t="n">
        <f aca="false">SUMIF('Raw Data'!B:B,"East",'Raw Data'!C:C)</f>
        <v>491000</v>
      </c>
      <c r="D20" s="28" t="n">
        <f aca="false">SUMIF('Raw Data'!B:B,"East",'Raw Data'!D:D)</f>
        <v>473000</v>
      </c>
      <c r="E20" s="32" t="n">
        <f aca="false">C20/D20</f>
        <v>1.03805496828753</v>
      </c>
      <c r="F20" s="33" t="n">
        <f aca="false">SUMIF('Raw Data'!B:B,"East",'Raw Data'!E:E)</f>
        <v>162</v>
      </c>
      <c r="G20" s="33" t="n">
        <f aca="false">SUMIF('Raw Data'!B:B,"East",'Raw Data'!G:G)</f>
        <v>72</v>
      </c>
      <c r="H20" s="32" t="n">
        <f aca="false">AVERAGEIF('Raw Data'!B:B,"East",'Raw Data'!I:I)</f>
        <v>0.4475</v>
      </c>
      <c r="J20" s="34" t="s">
        <v>15</v>
      </c>
      <c r="K20" s="33" t="n">
        <f aca="false">SUMIF('Raw Data'!A:A,"Mar",'Raw Data'!E:E)</f>
        <v>59</v>
      </c>
      <c r="L20" s="33" t="n">
        <f aca="false">SUMIF('Raw Data'!A:A,"Mar",'Raw Data'!G:G)</f>
        <v>25</v>
      </c>
      <c r="M20" s="32" t="n">
        <f aca="false">AVERAGEIF('Raw Data'!A:A,"Mar",'Raw Data'!H:H)</f>
        <v>0.024</v>
      </c>
      <c r="N20" s="32" t="n">
        <f aca="false">AVERAGEIF('Raw Data'!A:A,"Mar",'Raw Data'!I:I)</f>
        <v>0.43</v>
      </c>
    </row>
    <row r="21" customFormat="false" ht="19.5" hidden="false" customHeight="true" outlineLevel="0" collapsed="false">
      <c r="B21" s="35" t="s">
        <v>13</v>
      </c>
      <c r="C21" s="26" t="n">
        <f aca="false">SUMIF('Raw Data'!B:B,"West",'Raw Data'!C:C)</f>
        <v>541000</v>
      </c>
      <c r="D21" s="26" t="n">
        <f aca="false">SUMIF('Raw Data'!B:B,"West",'Raw Data'!D:D)</f>
        <v>524000</v>
      </c>
      <c r="E21" s="36" t="n">
        <f aca="false">C21/D21</f>
        <v>1.0324427480916</v>
      </c>
      <c r="F21" s="37" t="n">
        <f aca="false">SUMIF('Raw Data'!B:B,"West",'Raw Data'!E:E)</f>
        <v>186</v>
      </c>
      <c r="G21" s="37" t="n">
        <f aca="false">SUMIF('Raw Data'!B:B,"West",'Raw Data'!G:G)</f>
        <v>84</v>
      </c>
      <c r="H21" s="36" t="n">
        <f aca="false">AVERAGEIF('Raw Data'!B:B,"West",'Raw Data'!I:I)</f>
        <v>0.4475</v>
      </c>
      <c r="J21" s="38" t="s">
        <v>16</v>
      </c>
      <c r="K21" s="37" t="n">
        <f aca="false">SUMIF('Raw Data'!A:A,"Apr",'Raw Data'!E:E)</f>
        <v>63</v>
      </c>
      <c r="L21" s="37" t="n">
        <f aca="false">SUMIF('Raw Data'!A:A,"Apr",'Raw Data'!G:G)</f>
        <v>25</v>
      </c>
      <c r="M21" s="36" t="n">
        <f aca="false">AVERAGEIF('Raw Data'!A:A,"Apr",'Raw Data'!H:H)</f>
        <v>0.024</v>
      </c>
      <c r="N21" s="36" t="n">
        <f aca="false">AVERAGEIF('Raw Data'!A:A,"Apr",'Raw Data'!I:I)</f>
        <v>0.435</v>
      </c>
    </row>
    <row r="22" customFormat="false" ht="19.5" hidden="false" customHeight="true" outlineLevel="0" collapsed="false">
      <c r="J22" s="34" t="s">
        <v>17</v>
      </c>
      <c r="K22" s="33" t="n">
        <f aca="false">SUMIF('Raw Data'!A:A,"May",'Raw Data'!E:E)</f>
        <v>63</v>
      </c>
      <c r="L22" s="33" t="n">
        <f aca="false">SUMIF('Raw Data'!A:A,"May",'Raw Data'!G:G)</f>
        <v>29</v>
      </c>
      <c r="M22" s="32" t="n">
        <f aca="false">AVERAGEIF('Raw Data'!A:A,"May",'Raw Data'!H:H)</f>
        <v>0.023</v>
      </c>
      <c r="N22" s="32" t="n">
        <f aca="false">AVERAGEIF('Raw Data'!A:A,"May",'Raw Data'!I:I)</f>
        <v>0.44</v>
      </c>
    </row>
    <row r="23" customFormat="false" ht="19.5" hidden="false" customHeight="true" outlineLevel="0" collapsed="false">
      <c r="J23" s="38" t="s">
        <v>18</v>
      </c>
      <c r="K23" s="37" t="n">
        <f aca="false">SUMIF('Raw Data'!A:A,"Jun",'Raw Data'!E:E)</f>
        <v>63</v>
      </c>
      <c r="L23" s="37" t="n">
        <f aca="false">SUMIF('Raw Data'!A:A,"Jun",'Raw Data'!G:G)</f>
        <v>29</v>
      </c>
      <c r="M23" s="36" t="n">
        <f aca="false">AVERAGEIF('Raw Data'!A:A,"Jun",'Raw Data'!H:H)</f>
        <v>0.022</v>
      </c>
      <c r="N23" s="36" t="n">
        <f aca="false">AVERAGEIF('Raw Data'!A:A,"Jun",'Raw Data'!I:I)</f>
        <v>0.445</v>
      </c>
    </row>
    <row r="24" customFormat="false" ht="19.5" hidden="false" customHeight="true" outlineLevel="0" collapsed="false">
      <c r="J24" s="34" t="s">
        <v>19</v>
      </c>
      <c r="K24" s="33" t="n">
        <f aca="false">SUMIF('Raw Data'!A:A,"Jul",'Raw Data'!E:E)</f>
        <v>67</v>
      </c>
      <c r="L24" s="33" t="n">
        <f aca="false">SUMIF('Raw Data'!A:A,"Jul",'Raw Data'!G:G)</f>
        <v>29</v>
      </c>
      <c r="M24" s="32" t="n">
        <f aca="false">AVERAGEIF('Raw Data'!A:A,"Jul",'Raw Data'!H:H)</f>
        <v>0.022</v>
      </c>
      <c r="N24" s="32" t="n">
        <f aca="false">AVERAGEIF('Raw Data'!A:A,"Jul",'Raw Data'!I:I)</f>
        <v>0.45</v>
      </c>
    </row>
    <row r="25" customFormat="false" ht="19.5" hidden="false" customHeight="true" outlineLevel="0" collapsed="false">
      <c r="J25" s="38" t="s">
        <v>20</v>
      </c>
      <c r="K25" s="37" t="n">
        <f aca="false">SUMIF('Raw Data'!A:A,"Aug",'Raw Data'!E:E)</f>
        <v>67</v>
      </c>
      <c r="L25" s="37" t="n">
        <f aca="false">SUMIF('Raw Data'!A:A,"Aug",'Raw Data'!G:G)</f>
        <v>29</v>
      </c>
      <c r="M25" s="36" t="n">
        <f aca="false">AVERAGEIF('Raw Data'!A:A,"Aug",'Raw Data'!H:H)</f>
        <v>0.021</v>
      </c>
      <c r="N25" s="36" t="n">
        <f aca="false">AVERAGEIF('Raw Data'!A:A,"Aug",'Raw Data'!I:I)</f>
        <v>0.455</v>
      </c>
    </row>
    <row r="26" customFormat="false" ht="19.5" hidden="false" customHeight="true" outlineLevel="0" collapsed="false">
      <c r="J26" s="34" t="s">
        <v>21</v>
      </c>
      <c r="K26" s="33" t="n">
        <f aca="false">SUMIF('Raw Data'!A:A,"Sep",'Raw Data'!E:E)</f>
        <v>67</v>
      </c>
      <c r="L26" s="33" t="n">
        <f aca="false">SUMIF('Raw Data'!A:A,"Sep",'Raw Data'!G:G)</f>
        <v>33</v>
      </c>
      <c r="M26" s="32" t="n">
        <f aca="false">AVERAGEIF('Raw Data'!A:A,"Sep",'Raw Data'!H:H)</f>
        <v>0.021</v>
      </c>
      <c r="N26" s="32" t="n">
        <f aca="false">AVERAGEIF('Raw Data'!A:A,"Sep",'Raw Data'!I:I)</f>
        <v>0.46</v>
      </c>
    </row>
    <row r="27" customFormat="false" ht="19.5" hidden="false" customHeight="true" outlineLevel="0" collapsed="false">
      <c r="J27" s="38" t="s">
        <v>22</v>
      </c>
      <c r="K27" s="37" t="n">
        <f aca="false">SUMIF('Raw Data'!A:A,"Oct",'Raw Data'!E:E)</f>
        <v>71</v>
      </c>
      <c r="L27" s="37" t="n">
        <f aca="false">SUMIF('Raw Data'!A:A,"Oct",'Raw Data'!G:G)</f>
        <v>33</v>
      </c>
      <c r="M27" s="36" t="n">
        <f aca="false">AVERAGEIF('Raw Data'!A:A,"Oct",'Raw Data'!H:H)</f>
        <v>0.02</v>
      </c>
      <c r="N27" s="36" t="n">
        <f aca="false">AVERAGEIF('Raw Data'!A:A,"Oct",'Raw Data'!I:I)</f>
        <v>0.465</v>
      </c>
    </row>
    <row r="28" customFormat="false" ht="19.5" hidden="false" customHeight="true" outlineLevel="0" collapsed="false">
      <c r="J28" s="34" t="s">
        <v>23</v>
      </c>
      <c r="K28" s="33" t="n">
        <f aca="false">SUMIF('Raw Data'!A:A,"Nov",'Raw Data'!E:E)</f>
        <v>71</v>
      </c>
      <c r="L28" s="33" t="n">
        <f aca="false">SUMIF('Raw Data'!A:A,"Nov",'Raw Data'!G:G)</f>
        <v>33</v>
      </c>
      <c r="M28" s="32" t="n">
        <f aca="false">AVERAGEIF('Raw Data'!A:A,"Nov",'Raw Data'!H:H)</f>
        <v>0.02</v>
      </c>
      <c r="N28" s="32" t="n">
        <f aca="false">AVERAGEIF('Raw Data'!A:A,"Nov",'Raw Data'!I:I)</f>
        <v>0.47</v>
      </c>
    </row>
    <row r="29" customFormat="false" ht="19.5" hidden="false" customHeight="true" outlineLevel="0" collapsed="false">
      <c r="J29" s="38" t="s">
        <v>24</v>
      </c>
      <c r="K29" s="37" t="n">
        <f aca="false">SUMIF('Raw Data'!A:A,"Dec",'Raw Data'!E:E)</f>
        <v>71</v>
      </c>
      <c r="L29" s="37" t="n">
        <f aca="false">SUMIF('Raw Data'!A:A,"Dec",'Raw Data'!G:G)</f>
        <v>33</v>
      </c>
      <c r="M29" s="36" t="n">
        <f aca="false">AVERAGEIF('Raw Data'!A:A,"Dec",'Raw Data'!H:H)</f>
        <v>0.019</v>
      </c>
      <c r="N29" s="36" t="n">
        <f aca="false">AVERAGEIF('Raw Data'!A:A,"Dec",'Raw Data'!I:I)</f>
        <v>0.475</v>
      </c>
    </row>
  </sheetData>
  <mergeCells count="25">
    <mergeCell ref="A1:N1"/>
    <mergeCell ref="A2:N2"/>
    <mergeCell ref="B4:D4"/>
    <mergeCell ref="E4:G4"/>
    <mergeCell ref="H4:J4"/>
    <mergeCell ref="K4:M4"/>
    <mergeCell ref="B5:D5"/>
    <mergeCell ref="E5:G5"/>
    <mergeCell ref="H5:J5"/>
    <mergeCell ref="K5:M5"/>
    <mergeCell ref="B6:D6"/>
    <mergeCell ref="E6:G6"/>
    <mergeCell ref="H6:J6"/>
    <mergeCell ref="K6:M6"/>
    <mergeCell ref="B7:D7"/>
    <mergeCell ref="E7:G7"/>
    <mergeCell ref="H7:J7"/>
    <mergeCell ref="K7:M7"/>
    <mergeCell ref="B8:D8"/>
    <mergeCell ref="E8:G8"/>
    <mergeCell ref="H8:J8"/>
    <mergeCell ref="K8:M8"/>
    <mergeCell ref="B10:N10"/>
    <mergeCell ref="B16:H16"/>
    <mergeCell ref="J16:N16"/>
  </mergeCells>
  <conditionalFormatting sqref="C14:N14">
    <cfRule type="colorScale" priority="2">
      <colorScale>
        <cfvo type="num" val="0.8"/>
        <cfvo type="num" val="1"/>
        <cfvo type="num" val="1.1"/>
        <color rgb="FFFF6347"/>
        <color rgb="FFFFD966"/>
        <color rgb="FF70AD4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2026-06-17T15:54:33Z</dcterms:created>
  <dc:creator>openpyxl</dc:creator>
  <dc:description/>
  <dc:language>en-US</dc:language>
  <cp:lastModifiedBy/>
  <dcterms:modified xsi:type="dcterms:W3CDTF">2026-06-17T15:55:04Z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